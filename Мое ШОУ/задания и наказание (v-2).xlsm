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kordayaktivlombard\Desktop\Мое ШОУ\"/>
    </mc:Choice>
  </mc:AlternateContent>
  <xr:revisionPtr revIDLastSave="0" documentId="13_ncr:1_{8111580A-AFBC-4A52-82C5-63AF1F218737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Главная" sheetId="2" r:id="rId1"/>
    <sheet name="Список действий" sheetId="1" r:id="rId2"/>
    <sheet name="Задание для финала сезона" sheetId="4" r:id="rId3"/>
  </sheets>
  <definedNames>
    <definedName name="_xlnm._FilterDatabase" localSheetId="2" hidden="1">'Задание для финала сезона'!$B$4:$H$148</definedName>
    <definedName name="_xlnm._FilterDatabase" localSheetId="1" hidden="1">'Список действий'!$B$4:$H$148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48" i="4" l="1"/>
  <c r="I148" i="4" s="1"/>
  <c r="N148" i="4"/>
  <c r="M148" i="4"/>
  <c r="L148" i="4"/>
  <c r="K148" i="4"/>
  <c r="J148" i="4"/>
  <c r="B148" i="4"/>
  <c r="O147" i="4"/>
  <c r="I147" i="4" s="1"/>
  <c r="N147" i="4"/>
  <c r="M147" i="4"/>
  <c r="L147" i="4"/>
  <c r="K147" i="4"/>
  <c r="J147" i="4"/>
  <c r="B147" i="4"/>
  <c r="O146" i="4"/>
  <c r="I146" i="4" s="1"/>
  <c r="N146" i="4"/>
  <c r="M146" i="4"/>
  <c r="L146" i="4"/>
  <c r="K146" i="4"/>
  <c r="J146" i="4"/>
  <c r="B146" i="4"/>
  <c r="O145" i="4"/>
  <c r="I145" i="4" s="1"/>
  <c r="N145" i="4"/>
  <c r="M145" i="4"/>
  <c r="L145" i="4"/>
  <c r="K145" i="4"/>
  <c r="J145" i="4"/>
  <c r="B145" i="4"/>
  <c r="O144" i="4"/>
  <c r="I144" i="4" s="1"/>
  <c r="N144" i="4"/>
  <c r="M144" i="4"/>
  <c r="L144" i="4"/>
  <c r="K144" i="4"/>
  <c r="J144" i="4"/>
  <c r="B144" i="4"/>
  <c r="O143" i="4"/>
  <c r="I143" i="4" s="1"/>
  <c r="N143" i="4"/>
  <c r="M143" i="4"/>
  <c r="L143" i="4"/>
  <c r="K143" i="4"/>
  <c r="J143" i="4"/>
  <c r="B143" i="4"/>
  <c r="O142" i="4"/>
  <c r="I142" i="4" s="1"/>
  <c r="N142" i="4"/>
  <c r="M142" i="4"/>
  <c r="L142" i="4"/>
  <c r="K142" i="4"/>
  <c r="J142" i="4"/>
  <c r="B142" i="4"/>
  <c r="O141" i="4"/>
  <c r="I141" i="4" s="1"/>
  <c r="N141" i="4"/>
  <c r="M141" i="4"/>
  <c r="L141" i="4"/>
  <c r="K141" i="4"/>
  <c r="J141" i="4"/>
  <c r="B141" i="4"/>
  <c r="O140" i="4"/>
  <c r="I140" i="4" s="1"/>
  <c r="N140" i="4"/>
  <c r="M140" i="4"/>
  <c r="L140" i="4"/>
  <c r="K140" i="4"/>
  <c r="J140" i="4"/>
  <c r="B140" i="4"/>
  <c r="O139" i="4"/>
  <c r="I139" i="4" s="1"/>
  <c r="N139" i="4"/>
  <c r="M139" i="4"/>
  <c r="L139" i="4"/>
  <c r="K139" i="4"/>
  <c r="J139" i="4"/>
  <c r="B139" i="4"/>
  <c r="O138" i="4"/>
  <c r="I138" i="4" s="1"/>
  <c r="N138" i="4"/>
  <c r="M138" i="4"/>
  <c r="L138" i="4"/>
  <c r="K138" i="4"/>
  <c r="J138" i="4"/>
  <c r="B138" i="4"/>
  <c r="O137" i="4"/>
  <c r="I137" i="4" s="1"/>
  <c r="N137" i="4"/>
  <c r="M137" i="4"/>
  <c r="L137" i="4"/>
  <c r="K137" i="4"/>
  <c r="J137" i="4"/>
  <c r="B137" i="4"/>
  <c r="O136" i="4"/>
  <c r="I136" i="4" s="1"/>
  <c r="N136" i="4"/>
  <c r="M136" i="4"/>
  <c r="L136" i="4"/>
  <c r="K136" i="4"/>
  <c r="J136" i="4"/>
  <c r="B136" i="4"/>
  <c r="O135" i="4"/>
  <c r="I135" i="4" s="1"/>
  <c r="N135" i="4"/>
  <c r="M135" i="4"/>
  <c r="L135" i="4"/>
  <c r="K135" i="4"/>
  <c r="J135" i="4"/>
  <c r="B135" i="4"/>
  <c r="O134" i="4"/>
  <c r="I134" i="4" s="1"/>
  <c r="N134" i="4"/>
  <c r="M134" i="4"/>
  <c r="L134" i="4"/>
  <c r="K134" i="4"/>
  <c r="J134" i="4"/>
  <c r="B134" i="4"/>
  <c r="O133" i="4"/>
  <c r="I133" i="4" s="1"/>
  <c r="N133" i="4"/>
  <c r="M133" i="4"/>
  <c r="L133" i="4"/>
  <c r="K133" i="4"/>
  <c r="J133" i="4"/>
  <c r="B133" i="4"/>
  <c r="O132" i="4"/>
  <c r="I132" i="4" s="1"/>
  <c r="N132" i="4"/>
  <c r="M132" i="4"/>
  <c r="L132" i="4"/>
  <c r="K132" i="4"/>
  <c r="J132" i="4"/>
  <c r="B132" i="4"/>
  <c r="O131" i="4"/>
  <c r="I131" i="4" s="1"/>
  <c r="N131" i="4"/>
  <c r="M131" i="4"/>
  <c r="L131" i="4"/>
  <c r="K131" i="4"/>
  <c r="J131" i="4"/>
  <c r="B131" i="4"/>
  <c r="O130" i="4"/>
  <c r="I130" i="4" s="1"/>
  <c r="N130" i="4"/>
  <c r="M130" i="4"/>
  <c r="L130" i="4"/>
  <c r="K130" i="4"/>
  <c r="J130" i="4"/>
  <c r="B130" i="4"/>
  <c r="O129" i="4"/>
  <c r="I129" i="4" s="1"/>
  <c r="N129" i="4"/>
  <c r="M129" i="4"/>
  <c r="L129" i="4"/>
  <c r="K129" i="4"/>
  <c r="J129" i="4"/>
  <c r="B129" i="4"/>
  <c r="O128" i="4"/>
  <c r="I128" i="4" s="1"/>
  <c r="N128" i="4"/>
  <c r="M128" i="4"/>
  <c r="L128" i="4"/>
  <c r="K128" i="4"/>
  <c r="J128" i="4"/>
  <c r="B128" i="4"/>
  <c r="O127" i="4"/>
  <c r="I127" i="4" s="1"/>
  <c r="N127" i="4"/>
  <c r="M127" i="4"/>
  <c r="L127" i="4"/>
  <c r="K127" i="4"/>
  <c r="J127" i="4"/>
  <c r="B127" i="4"/>
  <c r="O126" i="4"/>
  <c r="I126" i="4" s="1"/>
  <c r="N126" i="4"/>
  <c r="M126" i="4"/>
  <c r="L126" i="4"/>
  <c r="K126" i="4"/>
  <c r="J126" i="4"/>
  <c r="B126" i="4"/>
  <c r="O125" i="4"/>
  <c r="I125" i="4" s="1"/>
  <c r="N125" i="4"/>
  <c r="M125" i="4"/>
  <c r="L125" i="4"/>
  <c r="K125" i="4"/>
  <c r="J125" i="4"/>
  <c r="B125" i="4"/>
  <c r="O124" i="4"/>
  <c r="I124" i="4" s="1"/>
  <c r="N124" i="4"/>
  <c r="M124" i="4"/>
  <c r="L124" i="4"/>
  <c r="K124" i="4"/>
  <c r="J124" i="4"/>
  <c r="B124" i="4"/>
  <c r="O123" i="4"/>
  <c r="I123" i="4" s="1"/>
  <c r="N123" i="4"/>
  <c r="M123" i="4"/>
  <c r="L123" i="4"/>
  <c r="K123" i="4"/>
  <c r="J123" i="4"/>
  <c r="B123" i="4"/>
  <c r="O122" i="4"/>
  <c r="I122" i="4" s="1"/>
  <c r="N122" i="4"/>
  <c r="M122" i="4"/>
  <c r="L122" i="4"/>
  <c r="K122" i="4"/>
  <c r="J122" i="4"/>
  <c r="B122" i="4"/>
  <c r="O121" i="4"/>
  <c r="I121" i="4" s="1"/>
  <c r="N121" i="4"/>
  <c r="M121" i="4"/>
  <c r="L121" i="4"/>
  <c r="K121" i="4"/>
  <c r="J121" i="4"/>
  <c r="B121" i="4"/>
  <c r="O120" i="4"/>
  <c r="I120" i="4" s="1"/>
  <c r="N120" i="4"/>
  <c r="M120" i="4"/>
  <c r="L120" i="4"/>
  <c r="K120" i="4"/>
  <c r="J120" i="4"/>
  <c r="B120" i="4"/>
  <c r="O119" i="4"/>
  <c r="I119" i="4" s="1"/>
  <c r="N119" i="4"/>
  <c r="M119" i="4"/>
  <c r="L119" i="4"/>
  <c r="K119" i="4"/>
  <c r="J119" i="4"/>
  <c r="B119" i="4"/>
  <c r="O118" i="4"/>
  <c r="I118" i="4" s="1"/>
  <c r="N118" i="4"/>
  <c r="M118" i="4"/>
  <c r="L118" i="4"/>
  <c r="K118" i="4"/>
  <c r="J118" i="4"/>
  <c r="B118" i="4"/>
  <c r="O117" i="4"/>
  <c r="I117" i="4" s="1"/>
  <c r="N117" i="4"/>
  <c r="M117" i="4"/>
  <c r="L117" i="4"/>
  <c r="K117" i="4"/>
  <c r="J117" i="4"/>
  <c r="B117" i="4"/>
  <c r="O116" i="4"/>
  <c r="I116" i="4" s="1"/>
  <c r="N116" i="4"/>
  <c r="M116" i="4"/>
  <c r="L116" i="4"/>
  <c r="K116" i="4"/>
  <c r="J116" i="4"/>
  <c r="B116" i="4"/>
  <c r="O115" i="4"/>
  <c r="I115" i="4" s="1"/>
  <c r="N115" i="4"/>
  <c r="M115" i="4"/>
  <c r="L115" i="4"/>
  <c r="K115" i="4"/>
  <c r="J115" i="4"/>
  <c r="B115" i="4"/>
  <c r="O114" i="4"/>
  <c r="I114" i="4" s="1"/>
  <c r="N114" i="4"/>
  <c r="M114" i="4"/>
  <c r="L114" i="4"/>
  <c r="K114" i="4"/>
  <c r="J114" i="4"/>
  <c r="B114" i="4"/>
  <c r="O113" i="4"/>
  <c r="I113" i="4" s="1"/>
  <c r="N113" i="4"/>
  <c r="M113" i="4"/>
  <c r="L113" i="4"/>
  <c r="K113" i="4"/>
  <c r="J113" i="4"/>
  <c r="B113" i="4"/>
  <c r="O112" i="4"/>
  <c r="I112" i="4" s="1"/>
  <c r="N112" i="4"/>
  <c r="M112" i="4"/>
  <c r="L112" i="4"/>
  <c r="K112" i="4"/>
  <c r="J112" i="4"/>
  <c r="B112" i="4"/>
  <c r="O111" i="4"/>
  <c r="I111" i="4" s="1"/>
  <c r="N111" i="4"/>
  <c r="M111" i="4"/>
  <c r="L111" i="4"/>
  <c r="K111" i="4"/>
  <c r="J111" i="4"/>
  <c r="B111" i="4"/>
  <c r="O110" i="4"/>
  <c r="I110" i="4" s="1"/>
  <c r="N110" i="4"/>
  <c r="M110" i="4"/>
  <c r="L110" i="4"/>
  <c r="K110" i="4"/>
  <c r="J110" i="4"/>
  <c r="B110" i="4"/>
  <c r="O109" i="4"/>
  <c r="I109" i="4" s="1"/>
  <c r="N109" i="4"/>
  <c r="M109" i="4"/>
  <c r="L109" i="4"/>
  <c r="K109" i="4"/>
  <c r="J109" i="4"/>
  <c r="B109" i="4"/>
  <c r="O108" i="4"/>
  <c r="I108" i="4" s="1"/>
  <c r="N108" i="4"/>
  <c r="M108" i="4"/>
  <c r="L108" i="4"/>
  <c r="K108" i="4"/>
  <c r="J108" i="4"/>
  <c r="B108" i="4"/>
  <c r="O107" i="4"/>
  <c r="I107" i="4" s="1"/>
  <c r="N107" i="4"/>
  <c r="M107" i="4"/>
  <c r="L107" i="4"/>
  <c r="K107" i="4"/>
  <c r="J107" i="4"/>
  <c r="B107" i="4"/>
  <c r="O106" i="4"/>
  <c r="I106" i="4" s="1"/>
  <c r="N106" i="4"/>
  <c r="M106" i="4"/>
  <c r="L106" i="4"/>
  <c r="K106" i="4"/>
  <c r="J106" i="4"/>
  <c r="B106" i="4"/>
  <c r="O105" i="4"/>
  <c r="I105" i="4" s="1"/>
  <c r="N105" i="4"/>
  <c r="M105" i="4"/>
  <c r="L105" i="4"/>
  <c r="K105" i="4"/>
  <c r="J105" i="4"/>
  <c r="B105" i="4"/>
  <c r="O104" i="4"/>
  <c r="I104" i="4" s="1"/>
  <c r="N104" i="4"/>
  <c r="M104" i="4"/>
  <c r="L104" i="4"/>
  <c r="K104" i="4"/>
  <c r="J104" i="4"/>
  <c r="B104" i="4"/>
  <c r="O103" i="4"/>
  <c r="I103" i="4" s="1"/>
  <c r="N103" i="4"/>
  <c r="M103" i="4"/>
  <c r="L103" i="4"/>
  <c r="K103" i="4"/>
  <c r="J103" i="4"/>
  <c r="B103" i="4"/>
  <c r="O102" i="4"/>
  <c r="I102" i="4" s="1"/>
  <c r="N102" i="4"/>
  <c r="M102" i="4"/>
  <c r="L102" i="4"/>
  <c r="K102" i="4"/>
  <c r="J102" i="4"/>
  <c r="B102" i="4"/>
  <c r="O101" i="4"/>
  <c r="I101" i="4" s="1"/>
  <c r="N101" i="4"/>
  <c r="M101" i="4"/>
  <c r="L101" i="4"/>
  <c r="K101" i="4"/>
  <c r="J101" i="4"/>
  <c r="B101" i="4"/>
  <c r="O100" i="4"/>
  <c r="I100" i="4" s="1"/>
  <c r="N100" i="4"/>
  <c r="M100" i="4"/>
  <c r="L100" i="4"/>
  <c r="K100" i="4"/>
  <c r="J100" i="4"/>
  <c r="B100" i="4"/>
  <c r="O99" i="4"/>
  <c r="I99" i="4" s="1"/>
  <c r="N99" i="4"/>
  <c r="M99" i="4"/>
  <c r="L99" i="4"/>
  <c r="K99" i="4"/>
  <c r="J99" i="4"/>
  <c r="B99" i="4"/>
  <c r="O98" i="4"/>
  <c r="I98" i="4" s="1"/>
  <c r="N98" i="4"/>
  <c r="M98" i="4"/>
  <c r="L98" i="4"/>
  <c r="K98" i="4"/>
  <c r="J98" i="4"/>
  <c r="B98" i="4"/>
  <c r="O97" i="4"/>
  <c r="I97" i="4" s="1"/>
  <c r="N97" i="4"/>
  <c r="M97" i="4"/>
  <c r="L97" i="4"/>
  <c r="K97" i="4"/>
  <c r="J97" i="4"/>
  <c r="B97" i="4"/>
  <c r="O96" i="4"/>
  <c r="I96" i="4" s="1"/>
  <c r="N96" i="4"/>
  <c r="M96" i="4"/>
  <c r="L96" i="4"/>
  <c r="K96" i="4"/>
  <c r="J96" i="4"/>
  <c r="B96" i="4"/>
  <c r="O95" i="4"/>
  <c r="I95" i="4" s="1"/>
  <c r="N95" i="4"/>
  <c r="M95" i="4"/>
  <c r="L95" i="4"/>
  <c r="K95" i="4"/>
  <c r="J95" i="4"/>
  <c r="B95" i="4"/>
  <c r="O94" i="4"/>
  <c r="I94" i="4" s="1"/>
  <c r="N94" i="4"/>
  <c r="M94" i="4"/>
  <c r="L94" i="4"/>
  <c r="K94" i="4"/>
  <c r="J94" i="4"/>
  <c r="B94" i="4"/>
  <c r="O93" i="4"/>
  <c r="I93" i="4" s="1"/>
  <c r="N93" i="4"/>
  <c r="M93" i="4"/>
  <c r="L93" i="4"/>
  <c r="K93" i="4"/>
  <c r="J93" i="4"/>
  <c r="B93" i="4"/>
  <c r="O92" i="4"/>
  <c r="I92" i="4" s="1"/>
  <c r="N92" i="4"/>
  <c r="M92" i="4"/>
  <c r="L92" i="4"/>
  <c r="K92" i="4"/>
  <c r="J92" i="4"/>
  <c r="B92" i="4"/>
  <c r="O91" i="4"/>
  <c r="I91" i="4" s="1"/>
  <c r="N91" i="4"/>
  <c r="M91" i="4"/>
  <c r="L91" i="4"/>
  <c r="K91" i="4"/>
  <c r="J91" i="4"/>
  <c r="B91" i="4"/>
  <c r="O90" i="4"/>
  <c r="I90" i="4" s="1"/>
  <c r="N90" i="4"/>
  <c r="M90" i="4"/>
  <c r="L90" i="4"/>
  <c r="K90" i="4"/>
  <c r="J90" i="4"/>
  <c r="B90" i="4"/>
  <c r="O89" i="4"/>
  <c r="I89" i="4" s="1"/>
  <c r="N89" i="4"/>
  <c r="M89" i="4"/>
  <c r="L89" i="4"/>
  <c r="K89" i="4"/>
  <c r="J89" i="4"/>
  <c r="B89" i="4"/>
  <c r="O88" i="4"/>
  <c r="I88" i="4" s="1"/>
  <c r="N88" i="4"/>
  <c r="M88" i="4"/>
  <c r="L88" i="4"/>
  <c r="K88" i="4"/>
  <c r="J88" i="4"/>
  <c r="B88" i="4"/>
  <c r="O87" i="4"/>
  <c r="I87" i="4" s="1"/>
  <c r="N87" i="4"/>
  <c r="M87" i="4"/>
  <c r="L87" i="4"/>
  <c r="K87" i="4"/>
  <c r="J87" i="4"/>
  <c r="B87" i="4"/>
  <c r="O86" i="4"/>
  <c r="I86" i="4" s="1"/>
  <c r="N86" i="4"/>
  <c r="M86" i="4"/>
  <c r="L86" i="4"/>
  <c r="K86" i="4"/>
  <c r="J86" i="4"/>
  <c r="B86" i="4"/>
  <c r="O85" i="4"/>
  <c r="I85" i="4" s="1"/>
  <c r="N85" i="4"/>
  <c r="M85" i="4"/>
  <c r="L85" i="4"/>
  <c r="K85" i="4"/>
  <c r="J85" i="4"/>
  <c r="B85" i="4"/>
  <c r="O84" i="4"/>
  <c r="I84" i="4" s="1"/>
  <c r="N84" i="4"/>
  <c r="M84" i="4"/>
  <c r="L84" i="4"/>
  <c r="K84" i="4"/>
  <c r="J84" i="4"/>
  <c r="B84" i="4"/>
  <c r="O83" i="4"/>
  <c r="I83" i="4" s="1"/>
  <c r="N83" i="4"/>
  <c r="M83" i="4"/>
  <c r="L83" i="4"/>
  <c r="K83" i="4"/>
  <c r="J83" i="4"/>
  <c r="B83" i="4"/>
  <c r="O82" i="4"/>
  <c r="I82" i="4" s="1"/>
  <c r="N82" i="4"/>
  <c r="M82" i="4"/>
  <c r="L82" i="4"/>
  <c r="K82" i="4"/>
  <c r="J82" i="4"/>
  <c r="B82" i="4"/>
  <c r="O81" i="4"/>
  <c r="I81" i="4" s="1"/>
  <c r="N81" i="4"/>
  <c r="M81" i="4"/>
  <c r="L81" i="4"/>
  <c r="K81" i="4"/>
  <c r="J81" i="4"/>
  <c r="B81" i="4"/>
  <c r="O80" i="4"/>
  <c r="I80" i="4" s="1"/>
  <c r="N80" i="4"/>
  <c r="M80" i="4"/>
  <c r="L80" i="4"/>
  <c r="K80" i="4"/>
  <c r="J80" i="4"/>
  <c r="B80" i="4"/>
  <c r="O79" i="4"/>
  <c r="I79" i="4" s="1"/>
  <c r="N79" i="4"/>
  <c r="M79" i="4"/>
  <c r="L79" i="4"/>
  <c r="K79" i="4"/>
  <c r="J79" i="4"/>
  <c r="B79" i="4"/>
  <c r="O78" i="4"/>
  <c r="I78" i="4" s="1"/>
  <c r="N78" i="4"/>
  <c r="M78" i="4"/>
  <c r="L78" i="4"/>
  <c r="K78" i="4"/>
  <c r="J78" i="4"/>
  <c r="B78" i="4"/>
  <c r="O77" i="4"/>
  <c r="I77" i="4" s="1"/>
  <c r="N77" i="4"/>
  <c r="M77" i="4"/>
  <c r="L77" i="4"/>
  <c r="K77" i="4"/>
  <c r="J77" i="4"/>
  <c r="B77" i="4"/>
  <c r="O76" i="4"/>
  <c r="I76" i="4" s="1"/>
  <c r="N76" i="4"/>
  <c r="M76" i="4"/>
  <c r="L76" i="4"/>
  <c r="K76" i="4"/>
  <c r="J76" i="4"/>
  <c r="B76" i="4"/>
  <c r="O75" i="4"/>
  <c r="I75" i="4" s="1"/>
  <c r="N75" i="4"/>
  <c r="M75" i="4"/>
  <c r="L75" i="4"/>
  <c r="K75" i="4"/>
  <c r="J75" i="4"/>
  <c r="B75" i="4"/>
  <c r="O74" i="4"/>
  <c r="I74" i="4" s="1"/>
  <c r="N74" i="4"/>
  <c r="M74" i="4"/>
  <c r="L74" i="4"/>
  <c r="K74" i="4"/>
  <c r="J74" i="4"/>
  <c r="B74" i="4"/>
  <c r="O73" i="4"/>
  <c r="I73" i="4" s="1"/>
  <c r="N73" i="4"/>
  <c r="M73" i="4"/>
  <c r="L73" i="4"/>
  <c r="K73" i="4"/>
  <c r="J73" i="4"/>
  <c r="B73" i="4"/>
  <c r="O72" i="4"/>
  <c r="I72" i="4" s="1"/>
  <c r="N72" i="4"/>
  <c r="M72" i="4"/>
  <c r="L72" i="4"/>
  <c r="K72" i="4"/>
  <c r="J72" i="4"/>
  <c r="B72" i="4"/>
  <c r="O71" i="4"/>
  <c r="I71" i="4" s="1"/>
  <c r="N71" i="4"/>
  <c r="M71" i="4"/>
  <c r="L71" i="4"/>
  <c r="K71" i="4"/>
  <c r="J71" i="4"/>
  <c r="B71" i="4"/>
  <c r="O70" i="4"/>
  <c r="I70" i="4" s="1"/>
  <c r="N70" i="4"/>
  <c r="M70" i="4"/>
  <c r="L70" i="4"/>
  <c r="K70" i="4"/>
  <c r="J70" i="4"/>
  <c r="B70" i="4"/>
  <c r="O69" i="4"/>
  <c r="I69" i="4" s="1"/>
  <c r="N69" i="4"/>
  <c r="M69" i="4"/>
  <c r="L69" i="4"/>
  <c r="K69" i="4"/>
  <c r="J69" i="4"/>
  <c r="B69" i="4"/>
  <c r="O68" i="4"/>
  <c r="I68" i="4" s="1"/>
  <c r="N68" i="4"/>
  <c r="M68" i="4"/>
  <c r="L68" i="4"/>
  <c r="K68" i="4"/>
  <c r="J68" i="4"/>
  <c r="B68" i="4"/>
  <c r="O67" i="4"/>
  <c r="I67" i="4" s="1"/>
  <c r="N67" i="4"/>
  <c r="M67" i="4"/>
  <c r="L67" i="4"/>
  <c r="K67" i="4"/>
  <c r="J67" i="4"/>
  <c r="B67" i="4"/>
  <c r="O66" i="4"/>
  <c r="I66" i="4" s="1"/>
  <c r="N66" i="4"/>
  <c r="M66" i="4"/>
  <c r="L66" i="4"/>
  <c r="K66" i="4"/>
  <c r="J66" i="4"/>
  <c r="B66" i="4"/>
  <c r="O65" i="4"/>
  <c r="I65" i="4" s="1"/>
  <c r="N65" i="4"/>
  <c r="M65" i="4"/>
  <c r="L65" i="4"/>
  <c r="K65" i="4"/>
  <c r="J65" i="4"/>
  <c r="B65" i="4"/>
  <c r="O64" i="4"/>
  <c r="I64" i="4" s="1"/>
  <c r="N64" i="4"/>
  <c r="M64" i="4"/>
  <c r="L64" i="4"/>
  <c r="K64" i="4"/>
  <c r="J64" i="4"/>
  <c r="B64" i="4"/>
  <c r="O63" i="4"/>
  <c r="I63" i="4" s="1"/>
  <c r="N63" i="4"/>
  <c r="M63" i="4"/>
  <c r="L63" i="4"/>
  <c r="K63" i="4"/>
  <c r="J63" i="4"/>
  <c r="B63" i="4"/>
  <c r="O62" i="4"/>
  <c r="I62" i="4" s="1"/>
  <c r="N62" i="4"/>
  <c r="M62" i="4"/>
  <c r="L62" i="4"/>
  <c r="K62" i="4"/>
  <c r="J62" i="4"/>
  <c r="B62" i="4"/>
  <c r="O61" i="4"/>
  <c r="I61" i="4" s="1"/>
  <c r="N61" i="4"/>
  <c r="M61" i="4"/>
  <c r="L61" i="4"/>
  <c r="K61" i="4"/>
  <c r="J61" i="4"/>
  <c r="B61" i="4"/>
  <c r="O60" i="4"/>
  <c r="I60" i="4" s="1"/>
  <c r="N60" i="4"/>
  <c r="M60" i="4"/>
  <c r="L60" i="4"/>
  <c r="K60" i="4"/>
  <c r="J60" i="4"/>
  <c r="B60" i="4"/>
  <c r="O59" i="4"/>
  <c r="I59" i="4" s="1"/>
  <c r="N59" i="4"/>
  <c r="M59" i="4"/>
  <c r="L59" i="4"/>
  <c r="K59" i="4"/>
  <c r="J59" i="4"/>
  <c r="B59" i="4"/>
  <c r="O58" i="4"/>
  <c r="I58" i="4" s="1"/>
  <c r="N58" i="4"/>
  <c r="M58" i="4"/>
  <c r="L58" i="4"/>
  <c r="K58" i="4"/>
  <c r="J58" i="4"/>
  <c r="B58" i="4"/>
  <c r="O57" i="4"/>
  <c r="I57" i="4" s="1"/>
  <c r="N57" i="4"/>
  <c r="M57" i="4"/>
  <c r="L57" i="4"/>
  <c r="K57" i="4"/>
  <c r="J57" i="4"/>
  <c r="B57" i="4"/>
  <c r="O56" i="4"/>
  <c r="I56" i="4" s="1"/>
  <c r="N56" i="4"/>
  <c r="M56" i="4"/>
  <c r="L56" i="4"/>
  <c r="K56" i="4"/>
  <c r="J56" i="4"/>
  <c r="B56" i="4"/>
  <c r="O55" i="4"/>
  <c r="I55" i="4" s="1"/>
  <c r="N55" i="4"/>
  <c r="M55" i="4"/>
  <c r="L55" i="4"/>
  <c r="K55" i="4"/>
  <c r="J55" i="4"/>
  <c r="B55" i="4"/>
  <c r="O54" i="4"/>
  <c r="I54" i="4" s="1"/>
  <c r="N54" i="4"/>
  <c r="M54" i="4"/>
  <c r="L54" i="4"/>
  <c r="K54" i="4"/>
  <c r="J54" i="4"/>
  <c r="O53" i="4"/>
  <c r="I53" i="4" s="1"/>
  <c r="N53" i="4"/>
  <c r="M53" i="4"/>
  <c r="L53" i="4"/>
  <c r="K53" i="4"/>
  <c r="J53" i="4"/>
  <c r="O52" i="4"/>
  <c r="I52" i="4" s="1"/>
  <c r="N52" i="4"/>
  <c r="M52" i="4"/>
  <c r="L52" i="4"/>
  <c r="K52" i="4"/>
  <c r="J52" i="4"/>
  <c r="O51" i="4"/>
  <c r="I51" i="4" s="1"/>
  <c r="N51" i="4"/>
  <c r="M51" i="4"/>
  <c r="L51" i="4"/>
  <c r="K51" i="4"/>
  <c r="J51" i="4"/>
  <c r="O50" i="4"/>
  <c r="I50" i="4" s="1"/>
  <c r="N50" i="4"/>
  <c r="M50" i="4"/>
  <c r="L50" i="4"/>
  <c r="K50" i="4"/>
  <c r="J50" i="4"/>
  <c r="O49" i="4"/>
  <c r="I49" i="4" s="1"/>
  <c r="N49" i="4"/>
  <c r="M49" i="4"/>
  <c r="L49" i="4"/>
  <c r="K49" i="4"/>
  <c r="J49" i="4"/>
  <c r="O48" i="4"/>
  <c r="I48" i="4" s="1"/>
  <c r="N48" i="4"/>
  <c r="M48" i="4"/>
  <c r="L48" i="4"/>
  <c r="K48" i="4"/>
  <c r="J48" i="4"/>
  <c r="O47" i="4"/>
  <c r="I47" i="4" s="1"/>
  <c r="N47" i="4"/>
  <c r="M47" i="4"/>
  <c r="L47" i="4"/>
  <c r="K47" i="4"/>
  <c r="J47" i="4"/>
  <c r="O46" i="4"/>
  <c r="I46" i="4" s="1"/>
  <c r="N46" i="4"/>
  <c r="M46" i="4"/>
  <c r="L46" i="4"/>
  <c r="K46" i="4"/>
  <c r="J46" i="4"/>
  <c r="O45" i="4"/>
  <c r="I45" i="4" s="1"/>
  <c r="N45" i="4"/>
  <c r="M45" i="4"/>
  <c r="L45" i="4"/>
  <c r="K45" i="4"/>
  <c r="J45" i="4"/>
  <c r="O44" i="4"/>
  <c r="I44" i="4" s="1"/>
  <c r="N44" i="4"/>
  <c r="M44" i="4"/>
  <c r="L44" i="4"/>
  <c r="K44" i="4"/>
  <c r="J44" i="4"/>
  <c r="O43" i="4"/>
  <c r="I43" i="4" s="1"/>
  <c r="N43" i="4"/>
  <c r="M43" i="4"/>
  <c r="L43" i="4"/>
  <c r="K43" i="4"/>
  <c r="J43" i="4"/>
  <c r="O42" i="4"/>
  <c r="I42" i="4" s="1"/>
  <c r="N42" i="4"/>
  <c r="M42" i="4"/>
  <c r="L42" i="4"/>
  <c r="K42" i="4"/>
  <c r="J42" i="4"/>
  <c r="O41" i="4"/>
  <c r="I41" i="4" s="1"/>
  <c r="N41" i="4"/>
  <c r="M41" i="4"/>
  <c r="L41" i="4"/>
  <c r="K41" i="4"/>
  <c r="J41" i="4"/>
  <c r="O40" i="4"/>
  <c r="I40" i="4" s="1"/>
  <c r="N40" i="4"/>
  <c r="M40" i="4"/>
  <c r="L40" i="4"/>
  <c r="K40" i="4"/>
  <c r="J40" i="4"/>
  <c r="O39" i="4"/>
  <c r="I39" i="4" s="1"/>
  <c r="N39" i="4"/>
  <c r="M39" i="4"/>
  <c r="L39" i="4"/>
  <c r="K39" i="4"/>
  <c r="J39" i="4"/>
  <c r="O38" i="4"/>
  <c r="I38" i="4" s="1"/>
  <c r="N38" i="4"/>
  <c r="M38" i="4"/>
  <c r="L38" i="4"/>
  <c r="K38" i="4"/>
  <c r="J38" i="4"/>
  <c r="O37" i="4"/>
  <c r="I37" i="4" s="1"/>
  <c r="N37" i="4"/>
  <c r="M37" i="4"/>
  <c r="L37" i="4"/>
  <c r="K37" i="4"/>
  <c r="J37" i="4"/>
  <c r="O36" i="4"/>
  <c r="I36" i="4" s="1"/>
  <c r="N36" i="4"/>
  <c r="M36" i="4"/>
  <c r="L36" i="4"/>
  <c r="K36" i="4"/>
  <c r="J36" i="4"/>
  <c r="O35" i="4"/>
  <c r="I35" i="4" s="1"/>
  <c r="N35" i="4"/>
  <c r="M35" i="4"/>
  <c r="L35" i="4"/>
  <c r="K35" i="4"/>
  <c r="J35" i="4"/>
  <c r="O34" i="4"/>
  <c r="I34" i="4" s="1"/>
  <c r="N34" i="4"/>
  <c r="M34" i="4"/>
  <c r="L34" i="4"/>
  <c r="K34" i="4"/>
  <c r="J34" i="4"/>
  <c r="O33" i="4"/>
  <c r="I33" i="4" s="1"/>
  <c r="N33" i="4"/>
  <c r="M33" i="4"/>
  <c r="L33" i="4"/>
  <c r="K33" i="4"/>
  <c r="J33" i="4"/>
  <c r="O32" i="4"/>
  <c r="I32" i="4" s="1"/>
  <c r="N32" i="4"/>
  <c r="M32" i="4"/>
  <c r="L32" i="4"/>
  <c r="K32" i="4"/>
  <c r="J32" i="4"/>
  <c r="O31" i="4"/>
  <c r="I31" i="4" s="1"/>
  <c r="N31" i="4"/>
  <c r="M31" i="4"/>
  <c r="L31" i="4"/>
  <c r="K31" i="4"/>
  <c r="J31" i="4"/>
  <c r="O30" i="4"/>
  <c r="I30" i="4" s="1"/>
  <c r="N30" i="4"/>
  <c r="M30" i="4"/>
  <c r="L30" i="4"/>
  <c r="K30" i="4"/>
  <c r="J30" i="4"/>
  <c r="O29" i="4"/>
  <c r="I29" i="4" s="1"/>
  <c r="N29" i="4"/>
  <c r="M29" i="4"/>
  <c r="L29" i="4"/>
  <c r="K29" i="4"/>
  <c r="J29" i="4"/>
  <c r="O28" i="4"/>
  <c r="I28" i="4" s="1"/>
  <c r="N28" i="4"/>
  <c r="M28" i="4"/>
  <c r="L28" i="4"/>
  <c r="K28" i="4"/>
  <c r="J28" i="4"/>
  <c r="O27" i="4"/>
  <c r="I27" i="4" s="1"/>
  <c r="N27" i="4"/>
  <c r="M27" i="4"/>
  <c r="L27" i="4"/>
  <c r="K27" i="4"/>
  <c r="J27" i="4"/>
  <c r="O26" i="4"/>
  <c r="I26" i="4" s="1"/>
  <c r="N26" i="4"/>
  <c r="M26" i="4"/>
  <c r="L26" i="4"/>
  <c r="K26" i="4"/>
  <c r="J26" i="4"/>
  <c r="O25" i="4"/>
  <c r="I25" i="4" s="1"/>
  <c r="N25" i="4"/>
  <c r="M25" i="4"/>
  <c r="L25" i="4"/>
  <c r="K25" i="4"/>
  <c r="J25" i="4"/>
  <c r="O24" i="4"/>
  <c r="I24" i="4" s="1"/>
  <c r="N24" i="4"/>
  <c r="M24" i="4"/>
  <c r="L24" i="4"/>
  <c r="K24" i="4"/>
  <c r="J24" i="4"/>
  <c r="O23" i="4"/>
  <c r="I23" i="4" s="1"/>
  <c r="N23" i="4"/>
  <c r="M23" i="4"/>
  <c r="L23" i="4"/>
  <c r="K23" i="4"/>
  <c r="J23" i="4"/>
  <c r="O22" i="4"/>
  <c r="I22" i="4" s="1"/>
  <c r="N22" i="4"/>
  <c r="M22" i="4"/>
  <c r="L22" i="4"/>
  <c r="K22" i="4"/>
  <c r="J22" i="4"/>
  <c r="O21" i="4"/>
  <c r="I21" i="4" s="1"/>
  <c r="N21" i="4"/>
  <c r="M21" i="4"/>
  <c r="L21" i="4"/>
  <c r="K21" i="4"/>
  <c r="J21" i="4"/>
  <c r="O20" i="4"/>
  <c r="I20" i="4" s="1"/>
  <c r="N20" i="4"/>
  <c r="M20" i="4"/>
  <c r="L20" i="4"/>
  <c r="K20" i="4"/>
  <c r="J20" i="4"/>
  <c r="O19" i="4"/>
  <c r="I19" i="4" s="1"/>
  <c r="N19" i="4"/>
  <c r="M19" i="4"/>
  <c r="L19" i="4"/>
  <c r="K19" i="4"/>
  <c r="J19" i="4"/>
  <c r="O18" i="4"/>
  <c r="I18" i="4" s="1"/>
  <c r="N18" i="4"/>
  <c r="M18" i="4"/>
  <c r="L18" i="4"/>
  <c r="K18" i="4"/>
  <c r="J18" i="4"/>
  <c r="O17" i="4"/>
  <c r="I17" i="4" s="1"/>
  <c r="N17" i="4"/>
  <c r="M17" i="4"/>
  <c r="L17" i="4"/>
  <c r="K17" i="4"/>
  <c r="J17" i="4"/>
  <c r="O16" i="4"/>
  <c r="I16" i="4" s="1"/>
  <c r="N16" i="4"/>
  <c r="M16" i="4"/>
  <c r="L16" i="4"/>
  <c r="K16" i="4"/>
  <c r="J16" i="4"/>
  <c r="O15" i="4"/>
  <c r="I15" i="4" s="1"/>
  <c r="N15" i="4"/>
  <c r="M15" i="4"/>
  <c r="L15" i="4"/>
  <c r="K15" i="4"/>
  <c r="J15" i="4"/>
  <c r="O14" i="4"/>
  <c r="I14" i="4" s="1"/>
  <c r="N14" i="4"/>
  <c r="M14" i="4"/>
  <c r="L14" i="4"/>
  <c r="K14" i="4"/>
  <c r="J14" i="4"/>
  <c r="O13" i="4"/>
  <c r="I13" i="4" s="1"/>
  <c r="N13" i="4"/>
  <c r="M13" i="4"/>
  <c r="L13" i="4"/>
  <c r="K13" i="4"/>
  <c r="J13" i="4"/>
  <c r="O12" i="4"/>
  <c r="I12" i="4" s="1"/>
  <c r="N12" i="4"/>
  <c r="M12" i="4"/>
  <c r="L12" i="4"/>
  <c r="K12" i="4"/>
  <c r="J12" i="4"/>
  <c r="O11" i="4"/>
  <c r="I11" i="4" s="1"/>
  <c r="N11" i="4"/>
  <c r="M11" i="4"/>
  <c r="L11" i="4"/>
  <c r="K11" i="4"/>
  <c r="J11" i="4"/>
  <c r="O10" i="4"/>
  <c r="I10" i="4" s="1"/>
  <c r="N10" i="4"/>
  <c r="M10" i="4"/>
  <c r="L10" i="4"/>
  <c r="K10" i="4"/>
  <c r="J10" i="4"/>
  <c r="O9" i="4"/>
  <c r="I9" i="4" s="1"/>
  <c r="N9" i="4"/>
  <c r="M9" i="4"/>
  <c r="L9" i="4"/>
  <c r="K9" i="4"/>
  <c r="J9" i="4"/>
  <c r="O8" i="4"/>
  <c r="I8" i="4" s="1"/>
  <c r="N8" i="4"/>
  <c r="M8" i="4"/>
  <c r="L8" i="4"/>
  <c r="K8" i="4"/>
  <c r="J8" i="4"/>
  <c r="O7" i="4"/>
  <c r="I7" i="4" s="1"/>
  <c r="N7" i="4"/>
  <c r="M7" i="4"/>
  <c r="L7" i="4"/>
  <c r="K7" i="4"/>
  <c r="J7" i="4"/>
  <c r="O6" i="4"/>
  <c r="I6" i="4" s="1"/>
  <c r="N6" i="4"/>
  <c r="M6" i="4"/>
  <c r="L6" i="4"/>
  <c r="K6" i="4"/>
  <c r="J6" i="4"/>
  <c r="B6" i="4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B22" i="4" s="1"/>
  <c r="B23" i="4" s="1"/>
  <c r="B24" i="4" s="1"/>
  <c r="B25" i="4" s="1"/>
  <c r="B26" i="4" s="1"/>
  <c r="B27" i="4" s="1"/>
  <c r="B28" i="4" s="1"/>
  <c r="B29" i="4" s="1"/>
  <c r="B30" i="4" s="1"/>
  <c r="B31" i="4" s="1"/>
  <c r="B32" i="4" s="1"/>
  <c r="B33" i="4" s="1"/>
  <c r="B34" i="4" s="1"/>
  <c r="B35" i="4" s="1"/>
  <c r="B36" i="4" s="1"/>
  <c r="B37" i="4" s="1"/>
  <c r="B38" i="4" s="1"/>
  <c r="B39" i="4" s="1"/>
  <c r="B40" i="4" s="1"/>
  <c r="B41" i="4" s="1"/>
  <c r="B42" i="4" s="1"/>
  <c r="B43" i="4" s="1"/>
  <c r="B44" i="4" s="1"/>
  <c r="B45" i="4" s="1"/>
  <c r="B46" i="4" s="1"/>
  <c r="B47" i="4" s="1"/>
  <c r="B48" i="4" s="1"/>
  <c r="B49" i="4" s="1"/>
  <c r="B50" i="4" s="1"/>
  <c r="B51" i="4" s="1"/>
  <c r="B52" i="4" s="1"/>
  <c r="B53" i="4" s="1"/>
  <c r="B54" i="4" s="1"/>
  <c r="O5" i="4"/>
  <c r="K5" i="4" s="1"/>
  <c r="N5" i="4"/>
  <c r="M5" i="4"/>
  <c r="Q2" i="4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6" i="1"/>
  <c r="B7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B56" i="1" s="1"/>
  <c r="B57" i="1" s="1"/>
  <c r="B58" i="1" s="1"/>
  <c r="B59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B77" i="1" s="1"/>
  <c r="B78" i="1" s="1"/>
  <c r="B79" i="1" s="1"/>
  <c r="B80" i="1" s="1"/>
  <c r="B81" i="1" s="1"/>
  <c r="B82" i="1" s="1"/>
  <c r="B83" i="1" s="1"/>
  <c r="B84" i="1" s="1"/>
  <c r="B85" i="1" s="1"/>
  <c r="B86" i="1" s="1"/>
  <c r="B87" i="1" s="1"/>
  <c r="B88" i="1" s="1"/>
  <c r="B89" i="1" s="1"/>
  <c r="B90" i="1" s="1"/>
  <c r="B91" i="1" s="1"/>
  <c r="B92" i="1" s="1"/>
  <c r="B93" i="1" s="1"/>
  <c r="B94" i="1" s="1"/>
  <c r="B95" i="1" s="1"/>
  <c r="B96" i="1" s="1"/>
  <c r="B97" i="1" s="1"/>
  <c r="B98" i="1" s="1"/>
  <c r="B99" i="1" s="1"/>
  <c r="B100" i="1" s="1"/>
  <c r="B101" i="1" s="1"/>
  <c r="B102" i="1" s="1"/>
  <c r="B103" i="1" s="1"/>
  <c r="B104" i="1" s="1"/>
  <c r="B105" i="1" s="1"/>
  <c r="B106" i="1" s="1"/>
  <c r="B107" i="1" s="1"/>
  <c r="B108" i="1" s="1"/>
  <c r="B109" i="1" s="1"/>
  <c r="B110" i="1" s="1"/>
  <c r="B111" i="1" s="1"/>
  <c r="B112" i="1" s="1"/>
  <c r="B113" i="1" s="1"/>
  <c r="B114" i="1" s="1"/>
  <c r="B115" i="1" s="1"/>
  <c r="B116" i="1" s="1"/>
  <c r="B117" i="1" s="1"/>
  <c r="B118" i="1" s="1"/>
  <c r="B119" i="1" s="1"/>
  <c r="B120" i="1" s="1"/>
  <c r="B121" i="1" s="1"/>
  <c r="Q1" i="1"/>
  <c r="O6" i="1"/>
  <c r="I6" i="1" s="1"/>
  <c r="O7" i="1"/>
  <c r="I7" i="1" s="1"/>
  <c r="O8" i="1"/>
  <c r="I8" i="1" s="1"/>
  <c r="O9" i="1"/>
  <c r="I9" i="1" s="1"/>
  <c r="O10" i="1"/>
  <c r="I10" i="1" s="1"/>
  <c r="O11" i="1"/>
  <c r="I11" i="1" s="1"/>
  <c r="O12" i="1"/>
  <c r="I12" i="1" s="1"/>
  <c r="O13" i="1"/>
  <c r="I13" i="1" s="1"/>
  <c r="O14" i="1"/>
  <c r="I14" i="1" s="1"/>
  <c r="O15" i="1"/>
  <c r="I15" i="1" s="1"/>
  <c r="O16" i="1"/>
  <c r="I16" i="1" s="1"/>
  <c r="O17" i="1"/>
  <c r="I17" i="1" s="1"/>
  <c r="O18" i="1"/>
  <c r="I18" i="1" s="1"/>
  <c r="O19" i="1"/>
  <c r="I19" i="1" s="1"/>
  <c r="O20" i="1"/>
  <c r="I20" i="1" s="1"/>
  <c r="O21" i="1"/>
  <c r="I21" i="1" s="1"/>
  <c r="O22" i="1"/>
  <c r="I22" i="1" s="1"/>
  <c r="O23" i="1"/>
  <c r="I23" i="1" s="1"/>
  <c r="O24" i="1"/>
  <c r="I24" i="1" s="1"/>
  <c r="O25" i="1"/>
  <c r="I25" i="1" s="1"/>
  <c r="O26" i="1"/>
  <c r="I26" i="1" s="1"/>
  <c r="O27" i="1"/>
  <c r="I27" i="1" s="1"/>
  <c r="O28" i="1"/>
  <c r="I28" i="1" s="1"/>
  <c r="O29" i="1"/>
  <c r="I29" i="1" s="1"/>
  <c r="O30" i="1"/>
  <c r="I30" i="1" s="1"/>
  <c r="O31" i="1"/>
  <c r="I31" i="1" s="1"/>
  <c r="O32" i="1"/>
  <c r="I32" i="1" s="1"/>
  <c r="O33" i="1"/>
  <c r="I33" i="1" s="1"/>
  <c r="O34" i="1"/>
  <c r="I34" i="1" s="1"/>
  <c r="O35" i="1"/>
  <c r="I35" i="1" s="1"/>
  <c r="O36" i="1"/>
  <c r="I36" i="1" s="1"/>
  <c r="O37" i="1"/>
  <c r="I37" i="1" s="1"/>
  <c r="O38" i="1"/>
  <c r="I38" i="1" s="1"/>
  <c r="O39" i="1"/>
  <c r="I39" i="1" s="1"/>
  <c r="O40" i="1"/>
  <c r="I40" i="1" s="1"/>
  <c r="O41" i="1"/>
  <c r="I41" i="1" s="1"/>
  <c r="O42" i="1"/>
  <c r="I42" i="1" s="1"/>
  <c r="O43" i="1"/>
  <c r="I43" i="1" s="1"/>
  <c r="O44" i="1"/>
  <c r="I44" i="1" s="1"/>
  <c r="O45" i="1"/>
  <c r="I45" i="1" s="1"/>
  <c r="O46" i="1"/>
  <c r="I46" i="1" s="1"/>
  <c r="O47" i="1"/>
  <c r="I47" i="1" s="1"/>
  <c r="O48" i="1"/>
  <c r="I48" i="1" s="1"/>
  <c r="O49" i="1"/>
  <c r="I49" i="1" s="1"/>
  <c r="O50" i="1"/>
  <c r="I50" i="1" s="1"/>
  <c r="O51" i="1"/>
  <c r="I51" i="1" s="1"/>
  <c r="O52" i="1"/>
  <c r="I52" i="1" s="1"/>
  <c r="O53" i="1"/>
  <c r="I53" i="1" s="1"/>
  <c r="O54" i="1"/>
  <c r="I54" i="1" s="1"/>
  <c r="O55" i="1"/>
  <c r="I55" i="1" s="1"/>
  <c r="O56" i="1"/>
  <c r="I56" i="1" s="1"/>
  <c r="O57" i="1"/>
  <c r="I57" i="1" s="1"/>
  <c r="O58" i="1"/>
  <c r="I58" i="1" s="1"/>
  <c r="O59" i="1"/>
  <c r="I59" i="1" s="1"/>
  <c r="O60" i="1"/>
  <c r="I60" i="1" s="1"/>
  <c r="O61" i="1"/>
  <c r="I61" i="1" s="1"/>
  <c r="O62" i="1"/>
  <c r="I62" i="1" s="1"/>
  <c r="O63" i="1"/>
  <c r="I63" i="1" s="1"/>
  <c r="O64" i="1"/>
  <c r="I64" i="1" s="1"/>
  <c r="O65" i="1"/>
  <c r="I65" i="1" s="1"/>
  <c r="O66" i="1"/>
  <c r="I66" i="1" s="1"/>
  <c r="O67" i="1"/>
  <c r="I67" i="1" s="1"/>
  <c r="O68" i="1"/>
  <c r="I68" i="1" s="1"/>
  <c r="O69" i="1"/>
  <c r="I69" i="1" s="1"/>
  <c r="O70" i="1"/>
  <c r="I70" i="1" s="1"/>
  <c r="O71" i="1"/>
  <c r="I71" i="1" s="1"/>
  <c r="O72" i="1"/>
  <c r="I72" i="1" s="1"/>
  <c r="O73" i="1"/>
  <c r="I73" i="1" s="1"/>
  <c r="O74" i="1"/>
  <c r="I74" i="1" s="1"/>
  <c r="O75" i="1"/>
  <c r="I75" i="1" s="1"/>
  <c r="O76" i="1"/>
  <c r="I76" i="1" s="1"/>
  <c r="O77" i="1"/>
  <c r="I77" i="1" s="1"/>
  <c r="O78" i="1"/>
  <c r="I78" i="1" s="1"/>
  <c r="O79" i="1"/>
  <c r="I79" i="1" s="1"/>
  <c r="O80" i="1"/>
  <c r="I80" i="1" s="1"/>
  <c r="O81" i="1"/>
  <c r="I81" i="1" s="1"/>
  <c r="O82" i="1"/>
  <c r="I82" i="1" s="1"/>
  <c r="O83" i="1"/>
  <c r="I83" i="1" s="1"/>
  <c r="O84" i="1"/>
  <c r="I84" i="1" s="1"/>
  <c r="O85" i="1"/>
  <c r="I85" i="1" s="1"/>
  <c r="O86" i="1"/>
  <c r="I86" i="1" s="1"/>
  <c r="O87" i="1"/>
  <c r="I87" i="1" s="1"/>
  <c r="O88" i="1"/>
  <c r="I88" i="1" s="1"/>
  <c r="O89" i="1"/>
  <c r="I89" i="1" s="1"/>
  <c r="O90" i="1"/>
  <c r="I90" i="1" s="1"/>
  <c r="O91" i="1"/>
  <c r="I91" i="1" s="1"/>
  <c r="O92" i="1"/>
  <c r="I92" i="1" s="1"/>
  <c r="O93" i="1"/>
  <c r="I93" i="1" s="1"/>
  <c r="O94" i="1"/>
  <c r="I94" i="1" s="1"/>
  <c r="O95" i="1"/>
  <c r="I95" i="1" s="1"/>
  <c r="O96" i="1"/>
  <c r="I96" i="1" s="1"/>
  <c r="O97" i="1"/>
  <c r="I97" i="1" s="1"/>
  <c r="O98" i="1"/>
  <c r="I98" i="1" s="1"/>
  <c r="O99" i="1"/>
  <c r="I99" i="1" s="1"/>
  <c r="O100" i="1"/>
  <c r="I100" i="1" s="1"/>
  <c r="O101" i="1"/>
  <c r="I101" i="1" s="1"/>
  <c r="O102" i="1"/>
  <c r="I102" i="1" s="1"/>
  <c r="O103" i="1"/>
  <c r="I103" i="1" s="1"/>
  <c r="O104" i="1"/>
  <c r="I104" i="1" s="1"/>
  <c r="O105" i="1"/>
  <c r="I105" i="1" s="1"/>
  <c r="O106" i="1"/>
  <c r="I106" i="1" s="1"/>
  <c r="O107" i="1"/>
  <c r="I107" i="1" s="1"/>
  <c r="O108" i="1"/>
  <c r="I108" i="1" s="1"/>
  <c r="O109" i="1"/>
  <c r="I109" i="1" s="1"/>
  <c r="O110" i="1"/>
  <c r="I110" i="1" s="1"/>
  <c r="O111" i="1"/>
  <c r="I111" i="1" s="1"/>
  <c r="O112" i="1"/>
  <c r="I112" i="1" s="1"/>
  <c r="O113" i="1"/>
  <c r="I113" i="1" s="1"/>
  <c r="O114" i="1"/>
  <c r="I114" i="1" s="1"/>
  <c r="O115" i="1"/>
  <c r="I115" i="1" s="1"/>
  <c r="O116" i="1"/>
  <c r="I116" i="1" s="1"/>
  <c r="O117" i="1"/>
  <c r="I117" i="1" s="1"/>
  <c r="O118" i="1"/>
  <c r="I118" i="1" s="1"/>
  <c r="O119" i="1"/>
  <c r="I119" i="1" s="1"/>
  <c r="O120" i="1"/>
  <c r="I120" i="1" s="1"/>
  <c r="O121" i="1"/>
  <c r="I121" i="1" s="1"/>
  <c r="O122" i="1"/>
  <c r="I122" i="1" s="1"/>
  <c r="O123" i="1"/>
  <c r="I123" i="1" s="1"/>
  <c r="O124" i="1"/>
  <c r="I124" i="1" s="1"/>
  <c r="O125" i="1"/>
  <c r="I125" i="1" s="1"/>
  <c r="O126" i="1"/>
  <c r="I126" i="1" s="1"/>
  <c r="O127" i="1"/>
  <c r="I127" i="1" s="1"/>
  <c r="O128" i="1"/>
  <c r="I128" i="1" s="1"/>
  <c r="O129" i="1"/>
  <c r="I129" i="1" s="1"/>
  <c r="O130" i="1"/>
  <c r="I130" i="1" s="1"/>
  <c r="O131" i="1"/>
  <c r="I131" i="1" s="1"/>
  <c r="O132" i="1"/>
  <c r="I132" i="1" s="1"/>
  <c r="O133" i="1"/>
  <c r="I133" i="1" s="1"/>
  <c r="O134" i="1"/>
  <c r="I134" i="1" s="1"/>
  <c r="O135" i="1"/>
  <c r="I135" i="1" s="1"/>
  <c r="O136" i="1"/>
  <c r="I136" i="1" s="1"/>
  <c r="O137" i="1"/>
  <c r="I137" i="1" s="1"/>
  <c r="O138" i="1"/>
  <c r="I138" i="1" s="1"/>
  <c r="O139" i="1"/>
  <c r="I139" i="1" s="1"/>
  <c r="O140" i="1"/>
  <c r="I140" i="1" s="1"/>
  <c r="O141" i="1"/>
  <c r="I141" i="1" s="1"/>
  <c r="O142" i="1"/>
  <c r="I142" i="1" s="1"/>
  <c r="O143" i="1"/>
  <c r="I143" i="1" s="1"/>
  <c r="O144" i="1"/>
  <c r="I144" i="1" s="1"/>
  <c r="O145" i="1"/>
  <c r="I145" i="1" s="1"/>
  <c r="O146" i="1"/>
  <c r="I146" i="1" s="1"/>
  <c r="O147" i="1"/>
  <c r="I147" i="1" s="1"/>
  <c r="O148" i="1"/>
  <c r="I148" i="1" s="1"/>
  <c r="O5" i="1"/>
  <c r="I5" i="1" s="1"/>
  <c r="N5" i="1"/>
  <c r="M5" i="1"/>
  <c r="J48" i="1"/>
  <c r="K48" i="1"/>
  <c r="L48" i="1"/>
  <c r="M48" i="1"/>
  <c r="N48" i="1"/>
  <c r="J49" i="1"/>
  <c r="K49" i="1"/>
  <c r="L49" i="1"/>
  <c r="M49" i="1"/>
  <c r="N49" i="1"/>
  <c r="J50" i="1"/>
  <c r="K50" i="1"/>
  <c r="L50" i="1"/>
  <c r="M50" i="1"/>
  <c r="N50" i="1"/>
  <c r="J51" i="1"/>
  <c r="K51" i="1"/>
  <c r="L51" i="1"/>
  <c r="M51" i="1"/>
  <c r="N51" i="1"/>
  <c r="J52" i="1"/>
  <c r="K52" i="1"/>
  <c r="L52" i="1"/>
  <c r="M52" i="1"/>
  <c r="N52" i="1"/>
  <c r="J53" i="1"/>
  <c r="K53" i="1"/>
  <c r="L53" i="1"/>
  <c r="M53" i="1"/>
  <c r="N53" i="1"/>
  <c r="J54" i="1"/>
  <c r="K54" i="1"/>
  <c r="L54" i="1"/>
  <c r="M54" i="1"/>
  <c r="N54" i="1"/>
  <c r="J55" i="1"/>
  <c r="K55" i="1"/>
  <c r="L55" i="1"/>
  <c r="M55" i="1"/>
  <c r="N55" i="1"/>
  <c r="J56" i="1"/>
  <c r="K56" i="1"/>
  <c r="L56" i="1"/>
  <c r="M56" i="1"/>
  <c r="N56" i="1"/>
  <c r="J57" i="1"/>
  <c r="K57" i="1"/>
  <c r="L57" i="1"/>
  <c r="M57" i="1"/>
  <c r="N57" i="1"/>
  <c r="J58" i="1"/>
  <c r="K58" i="1"/>
  <c r="L58" i="1"/>
  <c r="M58" i="1"/>
  <c r="N58" i="1"/>
  <c r="J59" i="1"/>
  <c r="K59" i="1"/>
  <c r="L59" i="1"/>
  <c r="M59" i="1"/>
  <c r="N59" i="1"/>
  <c r="J60" i="1"/>
  <c r="K60" i="1"/>
  <c r="L60" i="1"/>
  <c r="M60" i="1"/>
  <c r="N60" i="1"/>
  <c r="J61" i="1"/>
  <c r="K61" i="1"/>
  <c r="L61" i="1"/>
  <c r="M61" i="1"/>
  <c r="N61" i="1"/>
  <c r="J62" i="1"/>
  <c r="K62" i="1"/>
  <c r="L62" i="1"/>
  <c r="M62" i="1"/>
  <c r="N62" i="1"/>
  <c r="J63" i="1"/>
  <c r="K63" i="1"/>
  <c r="L63" i="1"/>
  <c r="M63" i="1"/>
  <c r="N63" i="1"/>
  <c r="J64" i="1"/>
  <c r="K64" i="1"/>
  <c r="L64" i="1"/>
  <c r="M64" i="1"/>
  <c r="N64" i="1"/>
  <c r="J65" i="1"/>
  <c r="K65" i="1"/>
  <c r="L65" i="1"/>
  <c r="M65" i="1"/>
  <c r="N65" i="1"/>
  <c r="J66" i="1"/>
  <c r="K66" i="1"/>
  <c r="L66" i="1"/>
  <c r="M66" i="1"/>
  <c r="N66" i="1"/>
  <c r="J67" i="1"/>
  <c r="K67" i="1"/>
  <c r="L67" i="1"/>
  <c r="M67" i="1"/>
  <c r="N67" i="1"/>
  <c r="J68" i="1"/>
  <c r="K68" i="1"/>
  <c r="L68" i="1"/>
  <c r="M68" i="1"/>
  <c r="N68" i="1"/>
  <c r="J69" i="1"/>
  <c r="K69" i="1"/>
  <c r="L69" i="1"/>
  <c r="M69" i="1"/>
  <c r="N69" i="1"/>
  <c r="J70" i="1"/>
  <c r="K70" i="1"/>
  <c r="L70" i="1"/>
  <c r="M70" i="1"/>
  <c r="N70" i="1"/>
  <c r="J71" i="1"/>
  <c r="K71" i="1"/>
  <c r="L71" i="1"/>
  <c r="M71" i="1"/>
  <c r="N71" i="1"/>
  <c r="J72" i="1"/>
  <c r="K72" i="1"/>
  <c r="L72" i="1"/>
  <c r="M72" i="1"/>
  <c r="N72" i="1"/>
  <c r="J73" i="1"/>
  <c r="K73" i="1"/>
  <c r="L73" i="1"/>
  <c r="M73" i="1"/>
  <c r="N73" i="1"/>
  <c r="J74" i="1"/>
  <c r="K74" i="1"/>
  <c r="L74" i="1"/>
  <c r="M74" i="1"/>
  <c r="N74" i="1"/>
  <c r="J75" i="1"/>
  <c r="K75" i="1"/>
  <c r="L75" i="1"/>
  <c r="M75" i="1"/>
  <c r="N75" i="1"/>
  <c r="J76" i="1"/>
  <c r="K76" i="1"/>
  <c r="L76" i="1"/>
  <c r="M76" i="1"/>
  <c r="N76" i="1"/>
  <c r="J77" i="1"/>
  <c r="K77" i="1"/>
  <c r="L77" i="1"/>
  <c r="M77" i="1"/>
  <c r="N77" i="1"/>
  <c r="J78" i="1"/>
  <c r="K78" i="1"/>
  <c r="L78" i="1"/>
  <c r="M78" i="1"/>
  <c r="N78" i="1"/>
  <c r="J79" i="1"/>
  <c r="K79" i="1"/>
  <c r="L79" i="1"/>
  <c r="M79" i="1"/>
  <c r="N79" i="1"/>
  <c r="J80" i="1"/>
  <c r="K80" i="1"/>
  <c r="L80" i="1"/>
  <c r="M80" i="1"/>
  <c r="N80" i="1"/>
  <c r="J81" i="1"/>
  <c r="K81" i="1"/>
  <c r="L81" i="1"/>
  <c r="M81" i="1"/>
  <c r="N81" i="1"/>
  <c r="J82" i="1"/>
  <c r="K82" i="1"/>
  <c r="L82" i="1"/>
  <c r="M82" i="1"/>
  <c r="N82" i="1"/>
  <c r="J83" i="1"/>
  <c r="K83" i="1"/>
  <c r="L83" i="1"/>
  <c r="M83" i="1"/>
  <c r="N83" i="1"/>
  <c r="J84" i="1"/>
  <c r="K84" i="1"/>
  <c r="L84" i="1"/>
  <c r="M84" i="1"/>
  <c r="N84" i="1"/>
  <c r="J85" i="1"/>
  <c r="K85" i="1"/>
  <c r="L85" i="1"/>
  <c r="M85" i="1"/>
  <c r="N85" i="1"/>
  <c r="J86" i="1"/>
  <c r="K86" i="1"/>
  <c r="L86" i="1"/>
  <c r="M86" i="1"/>
  <c r="N86" i="1"/>
  <c r="J87" i="1"/>
  <c r="K87" i="1"/>
  <c r="L87" i="1"/>
  <c r="M87" i="1"/>
  <c r="N87" i="1"/>
  <c r="J88" i="1"/>
  <c r="K88" i="1"/>
  <c r="L88" i="1"/>
  <c r="M88" i="1"/>
  <c r="N88" i="1"/>
  <c r="J89" i="1"/>
  <c r="K89" i="1"/>
  <c r="L89" i="1"/>
  <c r="M89" i="1"/>
  <c r="N89" i="1"/>
  <c r="J90" i="1"/>
  <c r="K90" i="1"/>
  <c r="L90" i="1"/>
  <c r="M90" i="1"/>
  <c r="N90" i="1"/>
  <c r="J91" i="1"/>
  <c r="K91" i="1"/>
  <c r="L91" i="1"/>
  <c r="M91" i="1"/>
  <c r="N91" i="1"/>
  <c r="J92" i="1"/>
  <c r="K92" i="1"/>
  <c r="L92" i="1"/>
  <c r="M92" i="1"/>
  <c r="N92" i="1"/>
  <c r="J93" i="1"/>
  <c r="K93" i="1"/>
  <c r="L93" i="1"/>
  <c r="M93" i="1"/>
  <c r="N93" i="1"/>
  <c r="J94" i="1"/>
  <c r="K94" i="1"/>
  <c r="L94" i="1"/>
  <c r="M94" i="1"/>
  <c r="N94" i="1"/>
  <c r="J95" i="1"/>
  <c r="K95" i="1"/>
  <c r="L95" i="1"/>
  <c r="M95" i="1"/>
  <c r="N95" i="1"/>
  <c r="J96" i="1"/>
  <c r="K96" i="1"/>
  <c r="L96" i="1"/>
  <c r="M96" i="1"/>
  <c r="N96" i="1"/>
  <c r="J97" i="1"/>
  <c r="K97" i="1"/>
  <c r="L97" i="1"/>
  <c r="M97" i="1"/>
  <c r="N97" i="1"/>
  <c r="J98" i="1"/>
  <c r="K98" i="1"/>
  <c r="L98" i="1"/>
  <c r="M98" i="1"/>
  <c r="N98" i="1"/>
  <c r="J99" i="1"/>
  <c r="K99" i="1"/>
  <c r="L99" i="1"/>
  <c r="M99" i="1"/>
  <c r="N99" i="1"/>
  <c r="J100" i="1"/>
  <c r="K100" i="1"/>
  <c r="L100" i="1"/>
  <c r="M100" i="1"/>
  <c r="N100" i="1"/>
  <c r="J101" i="1"/>
  <c r="K101" i="1"/>
  <c r="L101" i="1"/>
  <c r="M101" i="1"/>
  <c r="N101" i="1"/>
  <c r="J102" i="1"/>
  <c r="K102" i="1"/>
  <c r="L102" i="1"/>
  <c r="M102" i="1"/>
  <c r="N102" i="1"/>
  <c r="J103" i="1"/>
  <c r="K103" i="1"/>
  <c r="L103" i="1"/>
  <c r="M103" i="1"/>
  <c r="N103" i="1"/>
  <c r="J104" i="1"/>
  <c r="K104" i="1"/>
  <c r="L104" i="1"/>
  <c r="M104" i="1"/>
  <c r="N104" i="1"/>
  <c r="J105" i="1"/>
  <c r="K105" i="1"/>
  <c r="L105" i="1"/>
  <c r="M105" i="1"/>
  <c r="N105" i="1"/>
  <c r="J106" i="1"/>
  <c r="K106" i="1"/>
  <c r="L106" i="1"/>
  <c r="M106" i="1"/>
  <c r="N106" i="1"/>
  <c r="J107" i="1"/>
  <c r="K107" i="1"/>
  <c r="L107" i="1"/>
  <c r="M107" i="1"/>
  <c r="N107" i="1"/>
  <c r="J108" i="1"/>
  <c r="K108" i="1"/>
  <c r="L108" i="1"/>
  <c r="M108" i="1"/>
  <c r="N108" i="1"/>
  <c r="J109" i="1"/>
  <c r="K109" i="1"/>
  <c r="L109" i="1"/>
  <c r="M109" i="1"/>
  <c r="N109" i="1"/>
  <c r="J110" i="1"/>
  <c r="K110" i="1"/>
  <c r="L110" i="1"/>
  <c r="M110" i="1"/>
  <c r="N110" i="1"/>
  <c r="J111" i="1"/>
  <c r="K111" i="1"/>
  <c r="L111" i="1"/>
  <c r="M111" i="1"/>
  <c r="N111" i="1"/>
  <c r="J112" i="1"/>
  <c r="K112" i="1"/>
  <c r="L112" i="1"/>
  <c r="M112" i="1"/>
  <c r="N112" i="1"/>
  <c r="J113" i="1"/>
  <c r="K113" i="1"/>
  <c r="L113" i="1"/>
  <c r="M113" i="1"/>
  <c r="N113" i="1"/>
  <c r="J114" i="1"/>
  <c r="K114" i="1"/>
  <c r="L114" i="1"/>
  <c r="M114" i="1"/>
  <c r="N114" i="1"/>
  <c r="J115" i="1"/>
  <c r="K115" i="1"/>
  <c r="L115" i="1"/>
  <c r="M115" i="1"/>
  <c r="N115" i="1"/>
  <c r="J116" i="1"/>
  <c r="K116" i="1"/>
  <c r="L116" i="1"/>
  <c r="M116" i="1"/>
  <c r="N116" i="1"/>
  <c r="J117" i="1"/>
  <c r="K117" i="1"/>
  <c r="L117" i="1"/>
  <c r="M117" i="1"/>
  <c r="N117" i="1"/>
  <c r="J118" i="1"/>
  <c r="K118" i="1"/>
  <c r="L118" i="1"/>
  <c r="M118" i="1"/>
  <c r="N118" i="1"/>
  <c r="J119" i="1"/>
  <c r="K119" i="1"/>
  <c r="L119" i="1"/>
  <c r="M119" i="1"/>
  <c r="N119" i="1"/>
  <c r="J120" i="1"/>
  <c r="K120" i="1"/>
  <c r="L120" i="1"/>
  <c r="M120" i="1"/>
  <c r="N120" i="1"/>
  <c r="J121" i="1"/>
  <c r="K121" i="1"/>
  <c r="L121" i="1"/>
  <c r="M121" i="1"/>
  <c r="N121" i="1"/>
  <c r="J122" i="1"/>
  <c r="K122" i="1"/>
  <c r="L122" i="1"/>
  <c r="M122" i="1"/>
  <c r="N122" i="1"/>
  <c r="J123" i="1"/>
  <c r="K123" i="1"/>
  <c r="L123" i="1"/>
  <c r="M123" i="1"/>
  <c r="N123" i="1"/>
  <c r="J124" i="1"/>
  <c r="K124" i="1"/>
  <c r="L124" i="1"/>
  <c r="M124" i="1"/>
  <c r="N124" i="1"/>
  <c r="J125" i="1"/>
  <c r="K125" i="1"/>
  <c r="L125" i="1"/>
  <c r="M125" i="1"/>
  <c r="N125" i="1"/>
  <c r="J126" i="1"/>
  <c r="K126" i="1"/>
  <c r="L126" i="1"/>
  <c r="M126" i="1"/>
  <c r="N126" i="1"/>
  <c r="J127" i="1"/>
  <c r="K127" i="1"/>
  <c r="L127" i="1"/>
  <c r="M127" i="1"/>
  <c r="N127" i="1"/>
  <c r="J128" i="1"/>
  <c r="K128" i="1"/>
  <c r="L128" i="1"/>
  <c r="M128" i="1"/>
  <c r="N128" i="1"/>
  <c r="J129" i="1"/>
  <c r="K129" i="1"/>
  <c r="L129" i="1"/>
  <c r="M129" i="1"/>
  <c r="N129" i="1"/>
  <c r="J130" i="1"/>
  <c r="K130" i="1"/>
  <c r="L130" i="1"/>
  <c r="M130" i="1"/>
  <c r="N130" i="1"/>
  <c r="J131" i="1"/>
  <c r="K131" i="1"/>
  <c r="L131" i="1"/>
  <c r="M131" i="1"/>
  <c r="N131" i="1"/>
  <c r="J132" i="1"/>
  <c r="K132" i="1"/>
  <c r="L132" i="1"/>
  <c r="M132" i="1"/>
  <c r="N132" i="1"/>
  <c r="J133" i="1"/>
  <c r="K133" i="1"/>
  <c r="L133" i="1"/>
  <c r="M133" i="1"/>
  <c r="N133" i="1"/>
  <c r="J134" i="1"/>
  <c r="K134" i="1"/>
  <c r="L134" i="1"/>
  <c r="M134" i="1"/>
  <c r="N134" i="1"/>
  <c r="J135" i="1"/>
  <c r="K135" i="1"/>
  <c r="L135" i="1"/>
  <c r="M135" i="1"/>
  <c r="N135" i="1"/>
  <c r="J136" i="1"/>
  <c r="K136" i="1"/>
  <c r="L136" i="1"/>
  <c r="M136" i="1"/>
  <c r="N136" i="1"/>
  <c r="J137" i="1"/>
  <c r="K137" i="1"/>
  <c r="L137" i="1"/>
  <c r="M137" i="1"/>
  <c r="N137" i="1"/>
  <c r="J138" i="1"/>
  <c r="K138" i="1"/>
  <c r="L138" i="1"/>
  <c r="M138" i="1"/>
  <c r="N138" i="1"/>
  <c r="J139" i="1"/>
  <c r="K139" i="1"/>
  <c r="L139" i="1"/>
  <c r="M139" i="1"/>
  <c r="N139" i="1"/>
  <c r="J140" i="1"/>
  <c r="K140" i="1"/>
  <c r="L140" i="1"/>
  <c r="M140" i="1"/>
  <c r="N140" i="1"/>
  <c r="J141" i="1"/>
  <c r="K141" i="1"/>
  <c r="L141" i="1"/>
  <c r="M141" i="1"/>
  <c r="N141" i="1"/>
  <c r="J142" i="1"/>
  <c r="K142" i="1"/>
  <c r="L142" i="1"/>
  <c r="M142" i="1"/>
  <c r="N142" i="1"/>
  <c r="J143" i="1"/>
  <c r="K143" i="1"/>
  <c r="L143" i="1"/>
  <c r="M143" i="1"/>
  <c r="N143" i="1"/>
  <c r="J144" i="1"/>
  <c r="K144" i="1"/>
  <c r="L144" i="1"/>
  <c r="M144" i="1"/>
  <c r="N144" i="1"/>
  <c r="J145" i="1"/>
  <c r="K145" i="1"/>
  <c r="L145" i="1"/>
  <c r="M145" i="1"/>
  <c r="N145" i="1"/>
  <c r="J146" i="1"/>
  <c r="K146" i="1"/>
  <c r="L146" i="1"/>
  <c r="M146" i="1"/>
  <c r="N146" i="1"/>
  <c r="J147" i="1"/>
  <c r="K147" i="1"/>
  <c r="L147" i="1"/>
  <c r="M147" i="1"/>
  <c r="N147" i="1"/>
  <c r="M6" i="1"/>
  <c r="N6" i="1"/>
  <c r="M7" i="1"/>
  <c r="N7" i="1"/>
  <c r="M8" i="1"/>
  <c r="N8" i="1"/>
  <c r="M9" i="1"/>
  <c r="N9" i="1"/>
  <c r="M10" i="1"/>
  <c r="N10" i="1"/>
  <c r="M11" i="1"/>
  <c r="N11" i="1"/>
  <c r="M12" i="1"/>
  <c r="N12" i="1"/>
  <c r="M13" i="1"/>
  <c r="N13" i="1"/>
  <c r="M14" i="1"/>
  <c r="N14" i="1"/>
  <c r="M15" i="1"/>
  <c r="N15" i="1"/>
  <c r="M16" i="1"/>
  <c r="N16" i="1"/>
  <c r="M17" i="1"/>
  <c r="N17" i="1"/>
  <c r="M18" i="1"/>
  <c r="N18" i="1"/>
  <c r="M19" i="1"/>
  <c r="N19" i="1"/>
  <c r="M20" i="1"/>
  <c r="N20" i="1"/>
  <c r="M21" i="1"/>
  <c r="N21" i="1"/>
  <c r="M22" i="1"/>
  <c r="N22" i="1"/>
  <c r="M23" i="1"/>
  <c r="N23" i="1"/>
  <c r="M24" i="1"/>
  <c r="N24" i="1"/>
  <c r="M25" i="1"/>
  <c r="N25" i="1"/>
  <c r="M26" i="1"/>
  <c r="N26" i="1"/>
  <c r="M27" i="1"/>
  <c r="N27" i="1"/>
  <c r="M28" i="1"/>
  <c r="N28" i="1"/>
  <c r="M29" i="1"/>
  <c r="N29" i="1"/>
  <c r="M30" i="1"/>
  <c r="N30" i="1"/>
  <c r="M31" i="1"/>
  <c r="N31" i="1"/>
  <c r="M32" i="1"/>
  <c r="N32" i="1"/>
  <c r="M33" i="1"/>
  <c r="N33" i="1"/>
  <c r="M34" i="1"/>
  <c r="N34" i="1"/>
  <c r="M35" i="1"/>
  <c r="N35" i="1"/>
  <c r="M36" i="1"/>
  <c r="N36" i="1"/>
  <c r="M37" i="1"/>
  <c r="N37" i="1"/>
  <c r="M38" i="1"/>
  <c r="N38" i="1"/>
  <c r="M39" i="1"/>
  <c r="N39" i="1"/>
  <c r="M40" i="1"/>
  <c r="N40" i="1"/>
  <c r="M41" i="1"/>
  <c r="N41" i="1"/>
  <c r="M42" i="1"/>
  <c r="N42" i="1"/>
  <c r="M43" i="1"/>
  <c r="N43" i="1"/>
  <c r="M44" i="1"/>
  <c r="N44" i="1"/>
  <c r="M45" i="1"/>
  <c r="N45" i="1"/>
  <c r="M46" i="1"/>
  <c r="N46" i="1"/>
  <c r="M47" i="1"/>
  <c r="N47" i="1"/>
  <c r="M148" i="1"/>
  <c r="N148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148" i="1"/>
  <c r="K148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148" i="1"/>
  <c r="M4" i="4" l="1"/>
  <c r="M2" i="4" s="1"/>
  <c r="K4" i="4"/>
  <c r="K2" i="4" s="1"/>
  <c r="N4" i="4"/>
  <c r="N2" i="4" s="1"/>
  <c r="O4" i="4"/>
  <c r="L5" i="4"/>
  <c r="L4" i="4" s="1"/>
  <c r="L2" i="4" s="1"/>
  <c r="I5" i="4"/>
  <c r="I4" i="4" s="1"/>
  <c r="I2" i="4" s="1"/>
  <c r="J5" i="4"/>
  <c r="J4" i="4" s="1"/>
  <c r="J2" i="4" s="1"/>
  <c r="L5" i="1"/>
  <c r="L4" i="1" s="1"/>
  <c r="L1" i="1" s="1"/>
  <c r="O4" i="1"/>
  <c r="J5" i="1"/>
  <c r="J4" i="1" s="1"/>
  <c r="J1" i="1" s="1"/>
  <c r="K5" i="1"/>
  <c r="K4" i="1" s="1"/>
  <c r="K1" i="1" s="1"/>
  <c r="I4" i="1"/>
  <c r="I1" i="1" s="1"/>
  <c r="N4" i="1"/>
  <c r="N1" i="1" s="1"/>
  <c r="M4" i="1"/>
  <c r="M1" i="1" s="1"/>
</calcChain>
</file>

<file path=xl/sharedStrings.xml><?xml version="1.0" encoding="utf-8"?>
<sst xmlns="http://schemas.openxmlformats.org/spreadsheetml/2006/main" count="672" uniqueCount="198">
  <si>
    <t>#</t>
  </si>
  <si>
    <t>краткое название</t>
  </si>
  <si>
    <t xml:space="preserve">описание </t>
  </si>
  <si>
    <t>сложность</t>
  </si>
  <si>
    <t>выпуск</t>
  </si>
  <si>
    <t>Легкая</t>
  </si>
  <si>
    <t>Средняя</t>
  </si>
  <si>
    <t>Сложная</t>
  </si>
  <si>
    <t>СУПЕР ИГРА</t>
  </si>
  <si>
    <t>ДЕЙСТВИЯ</t>
  </si>
  <si>
    <t>НАКАЗАНИЕ</t>
  </si>
  <si>
    <t>ЗАДАНИЕ</t>
  </si>
  <si>
    <t xml:space="preserve">Съесть живых тараканов без соусов и специй. </t>
  </si>
  <si>
    <t>ОТПРАВИТЕЛЬ</t>
  </si>
  <si>
    <t>https://t.me/junius03</t>
  </si>
  <si>
    <t>Жевые твари</t>
  </si>
  <si>
    <t>Обклеить себя прокладками и не снимать их до окончания игры.</t>
  </si>
  <si>
    <t>Прокладочный монстр</t>
  </si>
  <si>
    <t>https://t.me/junius04</t>
  </si>
  <si>
    <t>https://t.me/junius05</t>
  </si>
  <si>
    <t>Обмазаться майонезом с горчицей после чего простоять в планке минимум 5 минут. :)</t>
  </si>
  <si>
    <t>Планка в майонезе</t>
  </si>
  <si>
    <t xml:space="preserve">Позвони последнему контакту которому ты звонил со словами: "Привет, куда можно спрятать труп" после чего промолчи или сбрось трубку. На звонки нельзя отвечать до окончания игры. Фразу может заменить ведущий игры по пожеланию. </t>
  </si>
  <si>
    <t>Спрятать труп</t>
  </si>
  <si>
    <t>https://t.me/junius06</t>
  </si>
  <si>
    <t>Выпить коктейль "Моё Шоу".</t>
  </si>
  <si>
    <t>Рецепт: 1ст.л васаби. 
Половина стакана любого масла.
Немного соевого соуса, 
Коньяк или любое другое спиртное,
Острый перец по вкусу ведущего, 
Майонез и три сырых яйца. По желанию добавить овощей не первой свежести и подать в теплом виде.</t>
  </si>
  <si>
    <t>https://t.me/junius07</t>
  </si>
  <si>
    <t>https://t.me/junius08</t>
  </si>
  <si>
    <t>Облиться соком из прокисших овощей.</t>
  </si>
  <si>
    <t>Облейся кислотой</t>
  </si>
  <si>
    <t>Мое шоу</t>
  </si>
  <si>
    <t>Лукошенчик</t>
  </si>
  <si>
    <t>Продай не сушествуещее</t>
  </si>
  <si>
    <t>Изображать гусеницу, ползая по полу в спальном мешке.</t>
  </si>
  <si>
    <t>гусиница в коконе</t>
  </si>
  <si>
    <t>Позвонить в аптеку и спрашивать по списку, 
1) чешуи гадюки
2) яда орангутанга
3) слеза барсука
4) коготь орла
5) волос свинкса
и сказать что вам надо это для зелья</t>
  </si>
  <si>
    <t>заказ аптеки</t>
  </si>
  <si>
    <t>разуй меня</t>
  </si>
  <si>
    <t>Во время прочтения стиха непрерывно поливают лицо из водяного пистолета соусом сои. Снять и выложить в соц сети</t>
  </si>
  <si>
    <t>Стреляй в лицо</t>
  </si>
  <si>
    <t xml:space="preserve">горчитца </t>
  </si>
  <si>
    <t>Состав шампуня</t>
  </si>
  <si>
    <t>Позвони в магазин запчастей и попроси у них деталь для своего игрушечного автомобиля</t>
  </si>
  <si>
    <t>Запчасть на игрушку</t>
  </si>
  <si>
    <t xml:space="preserve">Легко - </t>
  </si>
  <si>
    <t xml:space="preserve">Средне - </t>
  </si>
  <si>
    <t xml:space="preserve">Сложно - </t>
  </si>
  <si>
    <t xml:space="preserve">СУПЕР ИГРА - </t>
  </si>
  <si>
    <t xml:space="preserve">Задание - </t>
  </si>
  <si>
    <t xml:space="preserve">Наказание - </t>
  </si>
  <si>
    <t>Надень нижнее белье поверх одежды и носи его так до конца игры.</t>
  </si>
  <si>
    <t>Любитель макорон</t>
  </si>
  <si>
    <t>Мобель белья</t>
  </si>
  <si>
    <t>Позвони кому-то по Skype, Viber или Whatsapp и ковыряйся в носу во время разговора.</t>
  </si>
  <si>
    <t>я бурильщик</t>
  </si>
  <si>
    <t>Напиши кому-то сообщение "Эй". Каждый раз, когда тебе будут отвечать, пиши "Эй". Повтори 10 раз. На 11-й раз ответь "Привет".</t>
  </si>
  <si>
    <t>Эй чувак</t>
  </si>
  <si>
    <t>Сбрить бровь</t>
  </si>
  <si>
    <t>голый или лысый</t>
  </si>
  <si>
    <t>Напиши длинную и серьезную публикацию в одной из социальных сетей, признавшись в любви к шоколаду.</t>
  </si>
  <si>
    <t>Шоколадный извращенец</t>
  </si>
  <si>
    <t>милашка</t>
  </si>
  <si>
    <t>Сделай себе маску для лица из мокрой туалетной бумаги.</t>
  </si>
  <si>
    <t>Я принцесса</t>
  </si>
  <si>
    <t>Скушай горсть собачего или кошачего корма, с лицом как будто тебе нравится</t>
  </si>
  <si>
    <t>Мур-мяу</t>
  </si>
  <si>
    <t>Позвони случайному парню или девушке и флиртуй с ним женским голосом своему полу</t>
  </si>
  <si>
    <t>Милый ты мой</t>
  </si>
  <si>
    <t>Покажи скрытую натуру</t>
  </si>
  <si>
    <t>Вот это подарок</t>
  </si>
  <si>
    <t>Танцуй как балерина в течение 2 минут. Снять и выложить в соц сеци</t>
  </si>
  <si>
    <t>Мамкина балерина</t>
  </si>
  <si>
    <t>Кошатник</t>
  </si>
  <si>
    <t>Позвольте игрокам установить на ваши аватарки в соцсетях то, что они захотят. Не меняйте их 72 часа</t>
  </si>
  <si>
    <t>вот это поворот</t>
  </si>
  <si>
    <t>Поцелуй себя</t>
  </si>
  <si>
    <t>Напиши свое имя на зеркале, держа во рту губную помаду, сделать это в трансляции</t>
  </si>
  <si>
    <t>Сделай три глотка лимонного сока, после чего выпей молоко.</t>
  </si>
  <si>
    <t>Срать до утра</t>
  </si>
  <si>
    <t>Покрась передние зубы зеленкой и сделай селфи.</t>
  </si>
  <si>
    <t>Зеленый ротик</t>
  </si>
  <si>
    <t>Позвони в любой ресторан фастфуда и попроси сделать куриные наггетсы без курицы, покудахтав в конце разговора.</t>
  </si>
  <si>
    <t>Кудак - кудак</t>
  </si>
  <si>
    <t>у ти мой сладкий</t>
  </si>
  <si>
    <t>Любимый Лысик</t>
  </si>
  <si>
    <t>Отправь пошлый мем 10 людям из списка контактов которых выберит противник.</t>
  </si>
  <si>
    <t>А ты шалун</t>
  </si>
  <si>
    <t>Налей соевый соус в бюстгальтер девушки или трусы парня.</t>
  </si>
  <si>
    <t>Неожиданый поворот не туда</t>
  </si>
  <si>
    <t>Позвони родителям игрока слева и скажи, что вы скоро сыграете свадьбу.</t>
  </si>
  <si>
    <t>Свадебный сюрприз</t>
  </si>
  <si>
    <t>Сними с себя одежду до нижнего белья, и пусть все игроки обмотают тебя туалетной бумагой, как мумию</t>
  </si>
  <si>
    <t>Востание мумии</t>
  </si>
  <si>
    <t>Сфотографируй себя в бюстгальтере и опубликуй фото в социальную сеть.( парням)</t>
  </si>
  <si>
    <t>Защита на 100%</t>
  </si>
  <si>
    <t>Сисички</t>
  </si>
  <si>
    <t xml:space="preserve"> Это задание будет нацелено на проверку терпения. Участнику нужно выполнить простое действие, но в сильно раздражающих условиях. Например, задача — собрать небольшой конструктор или детский пазл в условиях, где постоянно звучат раздражающие звуки (например, звук капающей воды или пищащего будильника), а на руки надеты неудобные варежки или перчатки.</t>
  </si>
  <si>
    <t>Не удобный момент</t>
  </si>
  <si>
    <t>Участник должен двумя пальцами захлопнуть мышыловку и не должен уюберать их пока не захлопнит и так три раза пальцы менять нельзя</t>
  </si>
  <si>
    <t>Кошки мышки</t>
  </si>
  <si>
    <t xml:space="preserve">Одень каску и соперник ударит битой три раза </t>
  </si>
  <si>
    <t>Боец</t>
  </si>
  <si>
    <t>Позвонить родителям признаца им что ты гей или лизбианка</t>
  </si>
  <si>
    <t>Мама я гей</t>
  </si>
  <si>
    <t>Намазать подмышки горчицей</t>
  </si>
  <si>
    <t>полетели от постели</t>
  </si>
  <si>
    <t>Позвонить к другу и занять у него 30 000 на шлюх должен обязательно скинуть тебе</t>
  </si>
  <si>
    <t>Дай в долг</t>
  </si>
  <si>
    <t>пересадка волос</t>
  </si>
  <si>
    <t>Финальная игра сезона, для всех победителей сезона.</t>
  </si>
  <si>
    <r>
      <rPr>
        <b/>
        <sz val="18"/>
        <color rgb="FF002060"/>
        <rFont val="Century Gothic"/>
        <family val="2"/>
        <charset val="204"/>
      </rPr>
      <t>Список заданий и наказаний для игры</t>
    </r>
    <r>
      <rPr>
        <b/>
        <sz val="18"/>
        <color theme="5"/>
        <rFont val="Century Gothic"/>
        <family val="2"/>
        <charset val="204"/>
      </rPr>
      <t xml:space="preserve"> Мое ШОУ от Anato Fabian</t>
    </r>
  </si>
  <si>
    <t>Намазать голову майонезом</t>
  </si>
  <si>
    <t>Новый шампунь</t>
  </si>
  <si>
    <t>Скушать головку лука</t>
  </si>
  <si>
    <t>Робин Гад</t>
  </si>
  <si>
    <t>Вылокать алкоголь с блюдца</t>
  </si>
  <si>
    <t>Лизун</t>
  </si>
  <si>
    <t>Сыромятина</t>
  </si>
  <si>
    <t>Скушать сырую упавшую на пол  кортошку с горчицей</t>
  </si>
  <si>
    <t>Сними носки зубами</t>
  </si>
  <si>
    <t xml:space="preserve">Запиши сторис, где ты читаешь состав прокладки </t>
  </si>
  <si>
    <t>Накрась губы помадой и не стирай до конца игры.(парням) нарисуй пенис на лбу помодой (девушкам)</t>
  </si>
  <si>
    <t>лизнуть Лапку кота/собаки снимая это в сториз с #моешоу</t>
  </si>
  <si>
    <t>Напиши у себя на страничке в социальной сети «Люблю смотреть БДСМ» и не удаляй, пока не наберешь на хотя бы 10 лайков.</t>
  </si>
  <si>
    <t xml:space="preserve">Позвонить другу и признаться ему в любви </t>
  </si>
  <si>
    <t>Попросить у родственика/ друга машину для потрахушек, потому что она этого хочет (должен дать)</t>
  </si>
  <si>
    <t xml:space="preserve">Выложи в сеть волосатую женскую грудь и скажи придумай прическу </t>
  </si>
  <si>
    <t>Вылоджи в  соц-сеть видео где ты говоришь о том как ты этой ночью потерял девственость, в видео надо сказать что болит очко и поставить #ДыркаБолитОтДавида</t>
  </si>
  <si>
    <t>Набери в рот зеленку и сними видео о для моего шоу</t>
  </si>
  <si>
    <t xml:space="preserve">Дать противнику изменить имя на Кунислав или Кунибек Виликолепный или Миньет засеки султан </t>
  </si>
  <si>
    <t>набрать в рот лимонный сок и стоять с ним 60 сек</t>
  </si>
  <si>
    <t>Наклееть горчичник на грудь и сидеть до конца шоу</t>
  </si>
  <si>
    <t>Отправь  10 людям из списка контактов которых выберит противник микропенис и сказать что хочешь с таким поиграть</t>
  </si>
  <si>
    <t xml:space="preserve">Сделать свикольную маску </t>
  </si>
  <si>
    <t>Лизнуть подмышку противника</t>
  </si>
  <si>
    <t>Скушать сырую корточку с хреном</t>
  </si>
  <si>
    <t>Сьесть горсть сырых макароны</t>
  </si>
  <si>
    <t>Съешь столовую ложку горчицы не запивая</t>
  </si>
  <si>
    <t>Обзвонить 5 незнакомых номеров видео звонком и попросить подписаться на канал Anato Fabian расшарив экран (и они должны подписаться)</t>
  </si>
  <si>
    <t xml:space="preserve">Скушать луковицу целиком </t>
  </si>
  <si>
    <t>Сьешь столовую ложку хрена</t>
  </si>
  <si>
    <t>Надень презерватив на голову  и надуй его через соломку и сиди до конца игры  выложи фото в 2 соц сети и на аватару</t>
  </si>
  <si>
    <t>Выпить с помощью трубочки через нос, рюмку вина</t>
  </si>
  <si>
    <t>Напиши своему начальнику что думаешь переспать с ним. если он купит коробку доширака. Задание считается выполненным если он согласиться</t>
  </si>
  <si>
    <t>Напиши 10 контактам голосовое сообщение которых выберет оппонент. Привет я тут узнал/узнала, что девственность можно продать дорого. Не хочешь прикупить мою. я еще ни, ни только с заднего прохода. Задание считается выполненным если хоть кто-то согласиться</t>
  </si>
  <si>
    <t>Скушать 5 больших дольки чеснока за 5 минут</t>
  </si>
  <si>
    <t>Оппонент выполняет 30 приседаний, принимает упор лёжа, отжимается (если умеет) и прыгает на скакалке 100 раз. Затем тот, кому выпало это задание, облизывает его потную спину.</t>
  </si>
  <si>
    <t>Сделать маску для волос из скипидара</t>
  </si>
  <si>
    <t>Кушать любого насекомого кузнечика у саранчом либо что-то подобное и не блевануть живого</t>
  </si>
  <si>
    <t>Выпить тёплую бутылку минералки именно баржоми или есунтуки за 3 минуты</t>
  </si>
  <si>
    <t xml:space="preserve">Депилировать себе брови восковой полоской </t>
  </si>
  <si>
    <t>Создать группу и добавить всех своих друзей туда и подписать группу отбеливание ануса и выложить любой номер и сказать  записывайтесь мне очень понравилось работают хорошо</t>
  </si>
  <si>
    <t>Ресуем член на лбу хной и записываем видео выкладываем в сети просим чтоб кто то сел уже на лицо</t>
  </si>
  <si>
    <t>Позвонить отцу или маме и сказать парень ( возбуждает мама) девушка ( возбуждает отец)</t>
  </si>
  <si>
    <t>Позвонить родителям и признаться что ты выебал собаку</t>
  </si>
  <si>
    <t>Звонишь маме и говоришь: то что придумает оппонент</t>
  </si>
  <si>
    <t>Отправь любой девушке что выберет аппонент. Сколько будет стоить понюхать твои трусы?</t>
  </si>
  <si>
    <t>Участник должен сорвать с груди со спины с ноги илис руки пластырем волосы</t>
  </si>
  <si>
    <t>Получить леща курицей или же рыбой от соперника в обе щеки.</t>
  </si>
  <si>
    <t xml:space="preserve">Позвонить бывшему участницы или выбрать человека из зала со словами: "привет сладкий, у тебя ниче такая попка, пойдем пить пиво ко мне", после чего бросить трубку и не отвечать на звонки до конца шоу. </t>
  </si>
  <si>
    <t>Позвонить родственнику противоположного пола и сказать ему что хочешь сменить пол и хотел бы узнать всех недостатках вашего пола</t>
  </si>
  <si>
    <t>Позвони другу подруге и скажи скинь фотку свою фотографию а то и тот у стилиста хочу показать ему как делать не надо</t>
  </si>
  <si>
    <t>Обклейся прокладками</t>
  </si>
  <si>
    <t>Переоденься в девушку</t>
  </si>
  <si>
    <t>Позвони любому человеку которого выберет оппонент или ведущий. 
Пошли его на хуй. Положи трубку и добавь его в blacklist</t>
  </si>
  <si>
    <t>Позвони другу которого выберет ведущий.
Скажи что ты на съёмках мое ШОУ.
И попроси его чтоб он выслал фото жопы любого человека кто рядом если нет ни кого то свою. Задание считается выполним если отправят.</t>
  </si>
  <si>
    <t>Сними трусы не снимая штанов</t>
  </si>
  <si>
    <t>Дать сопернику проколоть себе ухо или губу.</t>
  </si>
  <si>
    <t>Поцеловать собачью жопу</t>
  </si>
  <si>
    <t>Разденься до гола и седи до конца следующего раунда</t>
  </si>
  <si>
    <t>Облизнуть подошву оппонента 😋</t>
  </si>
  <si>
    <t>Скушать горсть насвая</t>
  </si>
  <si>
    <t>Потушить сигарету 3 раза об руку</t>
  </si>
  <si>
    <t>ведущий и оппонент выбирают по 2 контакта. Ты пишешь или звонишь этим людям и говоришь чтобы они тебе скинули сиську, задание вы считается выполненным тогда когда тебе отправляют сиськи</t>
  </si>
  <si>
    <t>Позвонить парню/девушке  и сказать что сегодня понял/а что любит лизать. И должен рассказать как это круто и мпочему тебе понравилось это</t>
  </si>
  <si>
    <t xml:space="preserve">Надень женскую одежду и сделай селфи, а затем опубликуй его в социальных сетях. Мама я гей!) </t>
  </si>
  <si>
    <t>Пересодить волосы с интимных мест на усы и бороду, участник сбривает или состригает с интимных мест волосы и клеит себе на усы и бороду их</t>
  </si>
  <si>
    <t>Скушать сырую гамурусов с расширителем рта</t>
  </si>
  <si>
    <t>Скушать  3 сигареты с фильтром</t>
  </si>
  <si>
    <t xml:space="preserve">Приклей горчичник к попе к обеим булкам и сиди 15 минут на табуретке вставать нельзя. (встал опполнент и ведущий будут бить тебя по очереди в течение 1 минуты) </t>
  </si>
  <si>
    <t>Отгрызли ногти на ногах и скушай их минимум 2 ногтя</t>
  </si>
  <si>
    <t>Участник должен снять верхнюю одежду и одеть прищепку на сосок и просидеть до конца раунда</t>
  </si>
  <si>
    <t>Состричь ресницы кусачками для ногтей два глаза</t>
  </si>
  <si>
    <t xml:space="preserve">Нарисовать себе ватный палочкой и зелёнкой рисунок на лице Животное </t>
  </si>
  <si>
    <t>Лизнуть ступню аппонента</t>
  </si>
  <si>
    <t>Игрок справа должен слизать  с твоего пальца или щеки.</t>
  </si>
  <si>
    <t xml:space="preserve">позвонить в интим магазин и сначала распросить про самый большой дилдак. Разговор должен длиться не меньше 3 минут </t>
  </si>
  <si>
    <t>Позвонить к маме и сказать что ее подруга приставала к тебе и не ного подробнее рассказать об этом</t>
  </si>
  <si>
    <t xml:space="preserve">Мой герой Месси.Позвони другу. Скажи что ты на ШОУ. Попроси его засунуть что нить в трусы достать и съесть. Иначе ты проиграешь свое очко. И он должен это сделать. </t>
  </si>
  <si>
    <t>Написать первым 5 контактам чтоб они сели тебе на лицо</t>
  </si>
  <si>
    <t>Скушать 10 живых червяков</t>
  </si>
  <si>
    <t>Получить 10 раз ремнем по жопе в трусах.</t>
  </si>
  <si>
    <t>Состричь клок волос и скушать его</t>
  </si>
  <si>
    <t>Выстричь полностью переднюю часть ободком от уха до уха. Теменную зону</t>
  </si>
  <si>
    <t>Умойся зелёнкой или сьнькой</t>
  </si>
  <si>
    <t>Скрепить булавкой губы</t>
  </si>
  <si>
    <t>Передайте свой телефон ведущему, и пусть он разместит все, что захочет, в ваших аккаунтах в социальных сетях.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</si>
</sst>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6"/>
      <color theme="0"/>
      <name val="Calibri"/>
      <family val="2"/>
      <charset val="204"/>
      <scheme val="minor"/>
    </font>
    <font>
      <sz val="8"/>
      <name val="Calibri"/>
      <family val="2"/>
      <scheme val="minor"/>
    </font>
    <font>
      <b/>
      <sz val="16"/>
      <color rgb="FF002060"/>
      <name val="Century Gothic"/>
      <family val="2"/>
      <charset val="204"/>
    </font>
    <font>
      <sz val="18"/>
      <color rgb="FF002060"/>
      <name val="Century Gothic"/>
      <family val="2"/>
      <charset val="204"/>
    </font>
    <font>
      <b/>
      <sz val="18"/>
      <color rgb="FF002060"/>
      <name val="Century Gothic"/>
      <family val="2"/>
      <charset val="204"/>
    </font>
    <font>
      <b/>
      <sz val="18"/>
      <color theme="5"/>
      <name val="Century Gothic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Alignment="1">
      <alignment horizontal="center"/>
    </xf>
    <xf numFmtId="0" fontId="1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vertical="center"/>
    </xf>
    <xf numFmtId="0" fontId="1" fillId="2" borderId="1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0" borderId="1" xfId="0" applyBorder="1" applyAlignment="1" applyProtection="1">
      <alignment horizontal="center" vertical="center"/>
      <protection locked="0" hidden="1"/>
    </xf>
    <xf numFmtId="0" fontId="0" fillId="0" borderId="1" xfId="0" applyBorder="1" applyAlignment="1" applyProtection="1">
      <alignment vertical="center"/>
      <protection locked="0" hidden="1"/>
    </xf>
    <xf numFmtId="0" fontId="0" fillId="0" borderId="1" xfId="0" applyBorder="1" applyAlignment="1" applyProtection="1">
      <alignment vertical="center" wrapText="1"/>
      <protection locked="0" hidden="1"/>
    </xf>
    <xf numFmtId="0" fontId="0" fillId="0" borderId="3" xfId="0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 wrapText="1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6" xfId="0" applyBorder="1"/>
    <xf numFmtId="0" fontId="0" fillId="0" borderId="6" xfId="0" applyBorder="1" applyAlignment="1">
      <alignment wrapText="1"/>
    </xf>
    <xf numFmtId="0" fontId="5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0" fillId="0" borderId="7" xfId="0" applyBorder="1" applyAlignment="1">
      <alignment horizontal="center"/>
    </xf>
  </cellXfs>
  <cellStyles count="1">
    <cellStyle name="Обычный" xfId="0" builtinId="0"/>
  </cellStyles>
  <dxfs count="51">
    <dxf>
      <font>
        <strike/>
        <color theme="1"/>
      </font>
      <fill>
        <patternFill>
          <bgColor theme="1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9999"/>
        </patternFill>
      </fill>
    </dxf>
    <dxf>
      <fill>
        <patternFill>
          <bgColor rgb="FFFF0000"/>
        </patternFill>
      </fill>
    </dxf>
    <dxf>
      <font>
        <b/>
        <i/>
        <strike val="0"/>
        <u val="double"/>
        <color theme="1"/>
      </font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9999"/>
        </patternFill>
      </fill>
    </dxf>
    <dxf>
      <fill>
        <patternFill>
          <bgColor rgb="FFFF0000"/>
        </patternFill>
      </fill>
    </dxf>
    <dxf>
      <font>
        <b/>
        <i/>
        <strike val="0"/>
        <u val="double"/>
        <color theme="1"/>
      </font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9999"/>
        </patternFill>
      </fill>
    </dxf>
    <dxf>
      <fill>
        <patternFill>
          <bgColor rgb="FFFF0000"/>
        </patternFill>
      </fill>
    </dxf>
    <dxf>
      <font>
        <b/>
        <i/>
        <strike val="0"/>
        <u val="double"/>
        <color theme="1"/>
      </font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9999"/>
        </patternFill>
      </fill>
    </dxf>
    <dxf>
      <fill>
        <patternFill>
          <bgColor rgb="FFFF0000"/>
        </patternFill>
      </fill>
    </dxf>
    <dxf>
      <font>
        <b/>
        <i/>
        <strike val="0"/>
        <u val="double"/>
        <color theme="1"/>
      </font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9999"/>
        </patternFill>
      </fill>
    </dxf>
    <dxf>
      <fill>
        <patternFill>
          <bgColor rgb="FFFF0000"/>
        </patternFill>
      </fill>
    </dxf>
    <dxf>
      <font>
        <b/>
        <i/>
        <strike val="0"/>
        <u val="double"/>
        <color theme="1"/>
      </font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9999"/>
        </patternFill>
      </fill>
    </dxf>
    <dxf>
      <fill>
        <patternFill>
          <bgColor rgb="FFFF0000"/>
        </patternFill>
      </fill>
    </dxf>
    <dxf>
      <font>
        <b/>
        <i/>
        <strike val="0"/>
        <u val="double"/>
        <color theme="1"/>
      </font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9999"/>
        </patternFill>
      </fill>
    </dxf>
    <dxf>
      <fill>
        <patternFill>
          <bgColor rgb="FFFF0000"/>
        </patternFill>
      </fill>
    </dxf>
    <dxf>
      <font>
        <b/>
        <i/>
        <strike val="0"/>
        <u val="double"/>
        <color theme="1"/>
      </font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9999"/>
        </patternFill>
      </fill>
    </dxf>
    <dxf>
      <fill>
        <patternFill>
          <bgColor rgb="FFFF0000"/>
        </patternFill>
      </fill>
    </dxf>
    <dxf>
      <font>
        <b/>
        <i/>
        <strike val="0"/>
        <u val="double"/>
        <color theme="1"/>
      </font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9999"/>
        </patternFill>
      </fill>
    </dxf>
    <dxf>
      <fill>
        <patternFill>
          <bgColor rgb="FFFF0000"/>
        </patternFill>
      </fill>
    </dxf>
    <dxf>
      <font>
        <b/>
        <i/>
        <strike val="0"/>
        <u val="double"/>
        <color theme="1"/>
      </font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9999"/>
        </patternFill>
      </fill>
    </dxf>
    <dxf>
      <fill>
        <patternFill>
          <bgColor rgb="FFFF0000"/>
        </patternFill>
      </fill>
    </dxf>
    <dxf>
      <font>
        <b/>
        <i/>
        <strike val="0"/>
        <u val="double"/>
        <color theme="1"/>
      </font>
    </dxf>
  </dxfs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22</xdr:col>
      <xdr:colOff>594360</xdr:colOff>
      <xdr:row>2</xdr:row>
      <xdr:rowOff>175260</xdr:rowOff>
    </xdr:to>
    <xdr:sp macro="" textlink="">
      <xdr:nvSpPr>
        <xdr:cNvPr id="8" name="Прямоугольник 7">
          <a:extLst>
            <a:ext uri="{FF2B5EF4-FFF2-40B4-BE49-F238E27FC236}">
              <a16:creationId xmlns:a16="http://schemas.microsoft.com/office/drawing/2014/main" id="{73679AA1-08F5-20D9-F12E-00CF552B1E1A}"/>
            </a:ext>
          </a:extLst>
        </xdr:cNvPr>
        <xdr:cNvSpPr/>
      </xdr:nvSpPr>
      <xdr:spPr>
        <a:xfrm>
          <a:off x="0" y="0"/>
          <a:ext cx="14005560" cy="541020"/>
        </a:xfrm>
        <a:prstGeom prst="rect">
          <a:avLst/>
        </a:prstGeom>
        <a:solidFill>
          <a:srgbClr val="00206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ru-RU" sz="2000" b="1" kern="1200">
              <a:solidFill>
                <a:schemeClr val="accent2"/>
              </a:solidFill>
              <a:latin typeface="Century Gothic" panose="020B0502020202020204" pitchFamily="34" charset="0"/>
            </a:rPr>
            <a:t>Мое ШОУ - </a:t>
          </a:r>
          <a:r>
            <a:rPr lang="en-CA" sz="2000" b="1" kern="1200">
              <a:solidFill>
                <a:schemeClr val="bg1"/>
              </a:solidFill>
              <a:latin typeface="Century Gothic" panose="020B0502020202020204" pitchFamily="34" charset="0"/>
            </a:rPr>
            <a:t>Anato Fabian</a:t>
          </a:r>
          <a:endParaRPr lang="LID4096" sz="2000" b="1" kern="1200">
            <a:solidFill>
              <a:schemeClr val="bg1"/>
            </a:solidFill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0</xdr:col>
      <xdr:colOff>45720</xdr:colOff>
      <xdr:row>3</xdr:row>
      <xdr:rowOff>53340</xdr:rowOff>
    </xdr:from>
    <xdr:to>
      <xdr:col>3</xdr:col>
      <xdr:colOff>88920</xdr:colOff>
      <xdr:row>9</xdr:row>
      <xdr:rowOff>99060</xdr:rowOff>
    </xdr:to>
    <xdr:sp macro="" textlink="$I$1">
      <xdr:nvSpPr>
        <xdr:cNvPr id="2" name="Прямоугольник: скругленные углы 1">
          <a:extLst>
            <a:ext uri="{FF2B5EF4-FFF2-40B4-BE49-F238E27FC236}">
              <a16:creationId xmlns:a16="http://schemas.microsoft.com/office/drawing/2014/main" id="{C90B8766-1C0C-4F94-9533-3A85BF93198A}"/>
            </a:ext>
          </a:extLst>
        </xdr:cNvPr>
        <xdr:cNvSpPr/>
      </xdr:nvSpPr>
      <xdr:spPr>
        <a:xfrm>
          <a:off x="45720" y="601980"/>
          <a:ext cx="1872000" cy="1143000"/>
        </a:xfrm>
        <a:prstGeom prst="roundRect">
          <a:avLst>
            <a:gd name="adj" fmla="val 6000"/>
          </a:avLst>
        </a:prstGeom>
        <a:solidFill>
          <a:srgbClr val="00206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fld id="{A120A134-1B7B-472B-9E72-5F30D5C401DD}" type="TxLink">
            <a:rPr lang="ru-RU" sz="1800" b="1" i="0" u="none" strike="noStrike" kern="1200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 </a:t>
          </a:fld>
          <a:endParaRPr lang="LID4096" sz="1800" b="1" kern="12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226161</xdr:colOff>
      <xdr:row>3</xdr:row>
      <xdr:rowOff>167640</xdr:rowOff>
    </xdr:from>
    <xdr:to>
      <xdr:col>2</xdr:col>
      <xdr:colOff>518080</xdr:colOff>
      <xdr:row>5</xdr:row>
      <xdr:rowOff>114338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83156322-044D-7356-D1AE-E275FEBD40A0}"/>
            </a:ext>
          </a:extLst>
        </xdr:cNvPr>
        <xdr:cNvSpPr txBox="1"/>
      </xdr:nvSpPr>
      <xdr:spPr>
        <a:xfrm>
          <a:off x="226161" y="716280"/>
          <a:ext cx="1511119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ru-RU" sz="1400" b="1" kern="1200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</a:rPr>
            <a:t>Всего</a:t>
          </a:r>
          <a:r>
            <a:rPr lang="ru-RU" sz="1400" b="1" kern="1200" baseline="0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</a:rPr>
            <a:t> заданий</a:t>
          </a:r>
          <a:endParaRPr lang="LID4096" sz="1400" b="1" kern="1200">
            <a:solidFill>
              <a:schemeClr val="bg1">
                <a:lumMod val="75000"/>
              </a:schemeClr>
            </a:solidFill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1</xdr:col>
      <xdr:colOff>78707</xdr:colOff>
      <xdr:row>6</xdr:row>
      <xdr:rowOff>30480</xdr:rowOff>
    </xdr:from>
    <xdr:to>
      <xdr:col>3</xdr:col>
      <xdr:colOff>60960</xdr:colOff>
      <xdr:row>9</xdr:row>
      <xdr:rowOff>14422</xdr:rowOff>
    </xdr:to>
    <xdr:sp macro="" textlink="'Список действий'!N4">
      <xdr:nvSpPr>
        <xdr:cNvPr id="10" name="TextBox 9">
          <a:extLst>
            <a:ext uri="{FF2B5EF4-FFF2-40B4-BE49-F238E27FC236}">
              <a16:creationId xmlns:a16="http://schemas.microsoft.com/office/drawing/2014/main" id="{595F815A-E8F9-E213-9D3F-5C6705D64133}"/>
            </a:ext>
          </a:extLst>
        </xdr:cNvPr>
        <xdr:cNvSpPr txBox="1"/>
      </xdr:nvSpPr>
      <xdr:spPr>
        <a:xfrm>
          <a:off x="688307" y="1127760"/>
          <a:ext cx="1201453" cy="53258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fld id="{9B7C7CCB-37D9-40E8-A9C3-5A28D224CB28}" type="TxLink">
            <a:rPr lang="en-US" sz="2800" b="1" i="0" u="none" strike="noStrike" kern="1200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pPr algn="ctr"/>
            <a:t>45</a:t>
          </a:fld>
          <a:endParaRPr lang="LID4096" sz="3600" b="1" kern="1200">
            <a:solidFill>
              <a:schemeClr val="bg1"/>
            </a:solidFill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3</xdr:col>
      <xdr:colOff>152400</xdr:colOff>
      <xdr:row>3</xdr:row>
      <xdr:rowOff>53340</xdr:rowOff>
    </xdr:from>
    <xdr:to>
      <xdr:col>6</xdr:col>
      <xdr:colOff>195600</xdr:colOff>
      <xdr:row>9</xdr:row>
      <xdr:rowOff>99060</xdr:rowOff>
    </xdr:to>
    <xdr:sp macro="" textlink="$I$1">
      <xdr:nvSpPr>
        <xdr:cNvPr id="12" name="Прямоугольник: скругленные углы 11">
          <a:extLst>
            <a:ext uri="{FF2B5EF4-FFF2-40B4-BE49-F238E27FC236}">
              <a16:creationId xmlns:a16="http://schemas.microsoft.com/office/drawing/2014/main" id="{AF3BBCE1-E47C-C166-7BA4-0F56F929E824}"/>
            </a:ext>
          </a:extLst>
        </xdr:cNvPr>
        <xdr:cNvSpPr/>
      </xdr:nvSpPr>
      <xdr:spPr>
        <a:xfrm>
          <a:off x="1981200" y="601980"/>
          <a:ext cx="1872000" cy="1143000"/>
        </a:xfrm>
        <a:prstGeom prst="roundRect">
          <a:avLst>
            <a:gd name="adj" fmla="val 8667"/>
          </a:avLst>
        </a:prstGeom>
        <a:solidFill>
          <a:srgbClr val="00206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fld id="{A120A134-1B7B-472B-9E72-5F30D5C401DD}" type="TxLink">
            <a:rPr lang="ru-RU" sz="1800" b="1" i="0" u="none" strike="noStrike" kern="1200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 </a:t>
          </a:fld>
          <a:endParaRPr lang="LID4096" sz="1800" b="1" kern="12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174173</xdr:colOff>
      <xdr:row>3</xdr:row>
      <xdr:rowOff>167640</xdr:rowOff>
    </xdr:from>
    <xdr:to>
      <xdr:col>6</xdr:col>
      <xdr:colOff>173827</xdr:colOff>
      <xdr:row>5</xdr:row>
      <xdr:rowOff>114338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3868D581-FE2A-1BC6-6CEB-0FC505A6893C}"/>
            </a:ext>
          </a:extLst>
        </xdr:cNvPr>
        <xdr:cNvSpPr txBox="1"/>
      </xdr:nvSpPr>
      <xdr:spPr>
        <a:xfrm>
          <a:off x="2002973" y="716280"/>
          <a:ext cx="1828454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ru-RU" sz="1400" b="1" kern="1200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</a:rPr>
            <a:t>Всего</a:t>
          </a:r>
          <a:r>
            <a:rPr lang="ru-RU" sz="1400" b="1" kern="1200" baseline="0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</a:rPr>
            <a:t> наказаний</a:t>
          </a:r>
          <a:endParaRPr lang="LID4096" sz="1400" b="1" kern="1200">
            <a:solidFill>
              <a:schemeClr val="bg1">
                <a:lumMod val="75000"/>
              </a:schemeClr>
            </a:solidFill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4</xdr:col>
      <xdr:colOff>185387</xdr:colOff>
      <xdr:row>6</xdr:row>
      <xdr:rowOff>30480</xdr:rowOff>
    </xdr:from>
    <xdr:to>
      <xdr:col>6</xdr:col>
      <xdr:colOff>198120</xdr:colOff>
      <xdr:row>9</xdr:row>
      <xdr:rowOff>14422</xdr:rowOff>
    </xdr:to>
    <xdr:sp macro="" textlink="'Список действий'!M4">
      <xdr:nvSpPr>
        <xdr:cNvPr id="14" name="TextBox 13">
          <a:extLst>
            <a:ext uri="{FF2B5EF4-FFF2-40B4-BE49-F238E27FC236}">
              <a16:creationId xmlns:a16="http://schemas.microsoft.com/office/drawing/2014/main" id="{AB1C6F5D-98D8-E29C-53C5-8A06FE344BE6}"/>
            </a:ext>
          </a:extLst>
        </xdr:cNvPr>
        <xdr:cNvSpPr txBox="1"/>
      </xdr:nvSpPr>
      <xdr:spPr>
        <a:xfrm>
          <a:off x="2623787" y="1127760"/>
          <a:ext cx="1231933" cy="53258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marL="0" indent="0" algn="ctr"/>
          <a:fld id="{9689C90A-843E-4F0D-B45C-CF8D3B71A643}" type="TxLink">
            <a:rPr lang="en-US" sz="2800" b="1" i="0" u="none" strike="noStrike" kern="1200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pPr marL="0" indent="0" algn="ctr"/>
            <a:t>72</a:t>
          </a:fld>
          <a:endParaRPr lang="LID4096" sz="2800" b="1" i="0" u="none" strike="noStrike" kern="1200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twoCellAnchor>
  <xdr:twoCellAnchor>
    <xdr:from>
      <xdr:col>6</xdr:col>
      <xdr:colOff>259080</xdr:colOff>
      <xdr:row>3</xdr:row>
      <xdr:rowOff>53340</xdr:rowOff>
    </xdr:from>
    <xdr:to>
      <xdr:col>9</xdr:col>
      <xdr:colOff>302280</xdr:colOff>
      <xdr:row>9</xdr:row>
      <xdr:rowOff>99060</xdr:rowOff>
    </xdr:to>
    <xdr:sp macro="" textlink="$I$1">
      <xdr:nvSpPr>
        <xdr:cNvPr id="15" name="Прямоугольник: скругленные углы 14">
          <a:extLst>
            <a:ext uri="{FF2B5EF4-FFF2-40B4-BE49-F238E27FC236}">
              <a16:creationId xmlns:a16="http://schemas.microsoft.com/office/drawing/2014/main" id="{E41D84CF-F768-892B-D8E4-FF42CA686686}"/>
            </a:ext>
          </a:extLst>
        </xdr:cNvPr>
        <xdr:cNvSpPr/>
      </xdr:nvSpPr>
      <xdr:spPr>
        <a:xfrm>
          <a:off x="3916680" y="601980"/>
          <a:ext cx="1872000" cy="1143000"/>
        </a:xfrm>
        <a:prstGeom prst="roundRect">
          <a:avLst>
            <a:gd name="adj" fmla="val 5334"/>
          </a:avLst>
        </a:prstGeom>
        <a:solidFill>
          <a:srgbClr val="00206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fld id="{A120A134-1B7B-472B-9E72-5F30D5C401DD}" type="TxLink">
            <a:rPr lang="ru-RU" sz="1800" b="1" i="0" u="none" strike="noStrike" kern="1200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 </a:t>
          </a:fld>
          <a:endParaRPr lang="LID4096" sz="1800" b="1" kern="120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280853</xdr:colOff>
      <xdr:row>3</xdr:row>
      <xdr:rowOff>47100</xdr:rowOff>
    </xdr:from>
    <xdr:to>
      <xdr:col>9</xdr:col>
      <xdr:colOff>280507</xdr:colOff>
      <xdr:row>6</xdr:row>
      <xdr:rowOff>51998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793E4562-34FC-FC5E-1F9C-894DBE1EC0F5}"/>
            </a:ext>
          </a:extLst>
        </xdr:cNvPr>
        <xdr:cNvSpPr txBox="1"/>
      </xdr:nvSpPr>
      <xdr:spPr>
        <a:xfrm>
          <a:off x="3938453" y="595740"/>
          <a:ext cx="1828454" cy="55353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ru-RU" sz="1400" b="1" kern="1200" baseline="0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</a:rPr>
            <a:t>Завершено всего</a:t>
          </a:r>
        </a:p>
      </xdr:txBody>
    </xdr:sp>
    <xdr:clientData/>
  </xdr:twoCellAnchor>
  <xdr:twoCellAnchor>
    <xdr:from>
      <xdr:col>7</xdr:col>
      <xdr:colOff>373380</xdr:colOff>
      <xdr:row>6</xdr:row>
      <xdr:rowOff>30480</xdr:rowOff>
    </xdr:from>
    <xdr:to>
      <xdr:col>9</xdr:col>
      <xdr:colOff>289560</xdr:colOff>
      <xdr:row>9</xdr:row>
      <xdr:rowOff>14422</xdr:rowOff>
    </xdr:to>
    <xdr:sp macro="" textlink="'Список действий'!O4">
      <xdr:nvSpPr>
        <xdr:cNvPr id="17" name="TextBox 16">
          <a:extLst>
            <a:ext uri="{FF2B5EF4-FFF2-40B4-BE49-F238E27FC236}">
              <a16:creationId xmlns:a16="http://schemas.microsoft.com/office/drawing/2014/main" id="{7B84623A-3E21-A6E1-D300-908348AD4DD8}"/>
            </a:ext>
          </a:extLst>
        </xdr:cNvPr>
        <xdr:cNvSpPr txBox="1"/>
      </xdr:nvSpPr>
      <xdr:spPr>
        <a:xfrm>
          <a:off x="4640580" y="1127760"/>
          <a:ext cx="1135380" cy="53258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marL="0" indent="0" algn="ctr"/>
          <a:fld id="{5F4D16DC-746A-48EF-A4F4-45FD57C9A301}" type="TxLink">
            <a:rPr lang="en-US" sz="2800" b="1" i="0" u="none" strike="noStrike" kern="1200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pPr marL="0" indent="0" algn="ctr"/>
            <a:t>31</a:t>
          </a:fld>
          <a:endParaRPr lang="LID4096" sz="2800" b="1" i="0" u="none" strike="noStrike" kern="1200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twoCellAnchor>
  <xdr:twoCellAnchor editAs="oneCell">
    <xdr:from>
      <xdr:col>6</xdr:col>
      <xdr:colOff>342900</xdr:colOff>
      <xdr:row>5</xdr:row>
      <xdr:rowOff>144780</xdr:rowOff>
    </xdr:from>
    <xdr:to>
      <xdr:col>7</xdr:col>
      <xdr:colOff>358140</xdr:colOff>
      <xdr:row>9</xdr:row>
      <xdr:rowOff>38100</xdr:rowOff>
    </xdr:to>
    <xdr:pic>
      <xdr:nvPicPr>
        <xdr:cNvPr id="22" name="Рисунок 21" descr="Контрольный список со сплошной заливкой">
          <a:extLst>
            <a:ext uri="{FF2B5EF4-FFF2-40B4-BE49-F238E27FC236}">
              <a16:creationId xmlns:a16="http://schemas.microsoft.com/office/drawing/2014/main" id="{EB30048F-EFDA-BCA0-CBC6-1686E7BB58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00500" y="1059180"/>
          <a:ext cx="624840" cy="624840"/>
        </a:xfrm>
        <a:prstGeom prst="rect">
          <a:avLst/>
        </a:prstGeom>
      </xdr:spPr>
    </xdr:pic>
    <xdr:clientData/>
  </xdr:twoCellAnchor>
  <xdr:twoCellAnchor editAs="oneCell">
    <xdr:from>
      <xdr:col>0</xdr:col>
      <xdr:colOff>134760</xdr:colOff>
      <xdr:row>6</xdr:row>
      <xdr:rowOff>5220</xdr:rowOff>
    </xdr:from>
    <xdr:to>
      <xdr:col>1</xdr:col>
      <xdr:colOff>151560</xdr:colOff>
      <xdr:row>9</xdr:row>
      <xdr:rowOff>82980</xdr:rowOff>
    </xdr:to>
    <xdr:pic>
      <xdr:nvPicPr>
        <xdr:cNvPr id="24" name="Рисунок 23" descr="Контур лица дьявола со сплошной заливкой">
          <a:extLst>
            <a:ext uri="{FF2B5EF4-FFF2-40B4-BE49-F238E27FC236}">
              <a16:creationId xmlns:a16="http://schemas.microsoft.com/office/drawing/2014/main" id="{15E622E8-86A1-D16A-A127-D923E0182F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34760" y="1102500"/>
          <a:ext cx="626400" cy="626400"/>
        </a:xfrm>
        <a:prstGeom prst="rect">
          <a:avLst/>
        </a:prstGeom>
      </xdr:spPr>
    </xdr:pic>
    <xdr:clientData/>
  </xdr:twoCellAnchor>
  <xdr:twoCellAnchor editAs="oneCell">
    <xdr:from>
      <xdr:col>3</xdr:col>
      <xdr:colOff>178080</xdr:colOff>
      <xdr:row>5</xdr:row>
      <xdr:rowOff>162840</xdr:rowOff>
    </xdr:from>
    <xdr:to>
      <xdr:col>4</xdr:col>
      <xdr:colOff>194880</xdr:colOff>
      <xdr:row>9</xdr:row>
      <xdr:rowOff>57720</xdr:rowOff>
    </xdr:to>
    <xdr:pic>
      <xdr:nvPicPr>
        <xdr:cNvPr id="26" name="Рисунок 25" descr="Контур грустного лица со сплошной заливкой">
          <a:extLst>
            <a:ext uri="{FF2B5EF4-FFF2-40B4-BE49-F238E27FC236}">
              <a16:creationId xmlns:a16="http://schemas.microsoft.com/office/drawing/2014/main" id="{3264739E-FC52-07A6-9A24-C6E568D103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006880" y="1077240"/>
          <a:ext cx="626400" cy="626400"/>
        </a:xfrm>
        <a:prstGeom prst="rect">
          <a:avLst/>
        </a:prstGeom>
      </xdr:spPr>
    </xdr:pic>
    <xdr:clientData/>
  </xdr:twoCellAnchor>
  <xdr:twoCellAnchor>
    <xdr:from>
      <xdr:col>5</xdr:col>
      <xdr:colOff>510540</xdr:colOff>
      <xdr:row>0</xdr:row>
      <xdr:rowOff>60960</xdr:rowOff>
    </xdr:from>
    <xdr:to>
      <xdr:col>10</xdr:col>
      <xdr:colOff>15240</xdr:colOff>
      <xdr:row>2</xdr:row>
      <xdr:rowOff>102043</xdr:rowOff>
    </xdr:to>
    <xdr:grpSp>
      <xdr:nvGrpSpPr>
        <xdr:cNvPr id="29" name="Группа 28">
          <a:extLst>
            <a:ext uri="{FF2B5EF4-FFF2-40B4-BE49-F238E27FC236}">
              <a16:creationId xmlns:a16="http://schemas.microsoft.com/office/drawing/2014/main" id="{6B26352C-6E6F-7FD4-A788-59D79CD5737F}"/>
            </a:ext>
          </a:extLst>
        </xdr:cNvPr>
        <xdr:cNvGrpSpPr/>
      </xdr:nvGrpSpPr>
      <xdr:grpSpPr>
        <a:xfrm>
          <a:off x="3558540" y="60960"/>
          <a:ext cx="2552700" cy="406843"/>
          <a:chOff x="4427220" y="83820"/>
          <a:chExt cx="2552700" cy="406843"/>
        </a:xfrm>
      </xdr:grpSpPr>
      <xdr:sp macro="" textlink="">
        <xdr:nvSpPr>
          <xdr:cNvPr id="27" name="TextBox 26">
            <a:extLst>
              <a:ext uri="{FF2B5EF4-FFF2-40B4-BE49-F238E27FC236}">
                <a16:creationId xmlns:a16="http://schemas.microsoft.com/office/drawing/2014/main" id="{0675CC57-DE1A-E92B-3614-E58299982406}"/>
              </a:ext>
            </a:extLst>
          </xdr:cNvPr>
          <xdr:cNvSpPr txBox="1"/>
        </xdr:nvSpPr>
        <xdr:spPr>
          <a:xfrm>
            <a:off x="4427220" y="115271"/>
            <a:ext cx="2115323" cy="34394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ru-RU" sz="1600" kern="1200">
                <a:solidFill>
                  <a:schemeClr val="bg1"/>
                </a:solidFill>
                <a:latin typeface="Century Gothic" panose="020B0502020202020204" pitchFamily="34" charset="0"/>
              </a:rPr>
              <a:t>Отснято</a:t>
            </a:r>
            <a:r>
              <a:rPr lang="ru-RU" sz="1600" kern="1200" baseline="0">
                <a:solidFill>
                  <a:schemeClr val="bg1"/>
                </a:solidFill>
                <a:latin typeface="Century Gothic" panose="020B0502020202020204" pitchFamily="34" charset="0"/>
              </a:rPr>
              <a:t> выпусков -</a:t>
            </a:r>
            <a:endParaRPr lang="LID4096" sz="1600" kern="1200">
              <a:solidFill>
                <a:schemeClr val="bg1"/>
              </a:solidFill>
              <a:latin typeface="Century Gothic" panose="020B0502020202020204" pitchFamily="34" charset="0"/>
            </a:endParaRPr>
          </a:p>
        </xdr:txBody>
      </xdr:sp>
      <xdr:sp macro="" textlink="'Список действий'!Q1">
        <xdr:nvSpPr>
          <xdr:cNvPr id="28" name="TextBox 27">
            <a:extLst>
              <a:ext uri="{FF2B5EF4-FFF2-40B4-BE49-F238E27FC236}">
                <a16:creationId xmlns:a16="http://schemas.microsoft.com/office/drawing/2014/main" id="{756729A7-6AF9-9988-5F41-7651AC120432}"/>
              </a:ext>
            </a:extLst>
          </xdr:cNvPr>
          <xdr:cNvSpPr txBox="1"/>
        </xdr:nvSpPr>
        <xdr:spPr>
          <a:xfrm>
            <a:off x="6393180" y="83820"/>
            <a:ext cx="586740" cy="40684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spAutoFit/>
          </a:bodyPr>
          <a:lstStyle/>
          <a:p>
            <a:pPr marL="0" indent="0" algn="l"/>
            <a:fld id="{9FD1F470-FA68-4D1F-A8A6-B6823680B358}" type="TxLink">
              <a:rPr lang="en-US" sz="2000" b="1" kern="1200">
                <a:solidFill>
                  <a:schemeClr val="accent2"/>
                </a:solidFill>
                <a:latin typeface="Century Gothic" panose="020B0502020202020204" pitchFamily="34" charset="0"/>
                <a:ea typeface="+mn-ea"/>
                <a:cs typeface="+mn-cs"/>
              </a:rPr>
              <a:pPr marL="0" indent="0" algn="l"/>
              <a:t>4</a:t>
            </a:fld>
            <a:endParaRPr lang="LID4096" sz="2000" b="1" kern="1200">
              <a:solidFill>
                <a:schemeClr val="accent2"/>
              </a:solidFill>
              <a:latin typeface="Century Gothic" panose="020B0502020202020204" pitchFamily="34" charset="0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107951</xdr:colOff>
      <xdr:row>0</xdr:row>
      <xdr:rowOff>34762</xdr:rowOff>
    </xdr:from>
    <xdr:to>
      <xdr:col>4</xdr:col>
      <xdr:colOff>461029</xdr:colOff>
      <xdr:row>1</xdr:row>
      <xdr:rowOff>18578</xdr:rowOff>
    </xdr:to>
    <xdr:sp macro="[0]!Легко" textlink="$I$1">
      <xdr:nvSpPr>
        <xdr:cNvPr id="2" name="Прямоугольник: скругленные углы 1">
          <a:extLst>
            <a:ext uri="{FF2B5EF4-FFF2-40B4-BE49-F238E27FC236}">
              <a16:creationId xmlns:a16="http://schemas.microsoft.com/office/drawing/2014/main" id="{DA2A3580-DC5B-5296-8EFA-18FCB8A9AA13}"/>
            </a:ext>
          </a:extLst>
        </xdr:cNvPr>
        <xdr:cNvSpPr/>
      </xdr:nvSpPr>
      <xdr:spPr>
        <a:xfrm>
          <a:off x="283211" y="34762"/>
          <a:ext cx="1701818" cy="288616"/>
        </a:xfrm>
        <a:prstGeom prst="roundRect">
          <a:avLst/>
        </a:prstGeom>
        <a:solidFill>
          <a:srgbClr val="00206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fld id="{A120A134-1B7B-472B-9E72-5F30D5C401DD}" type="TxLink">
            <a:rPr lang="ru-RU" sz="1400" b="0" i="0" u="none" strike="noStrike" kern="1200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pPr algn="ctr"/>
            <a:t>Легко - -14</a:t>
          </a:fld>
          <a:endParaRPr lang="LID4096" sz="1400" b="0" kern="1200">
            <a:solidFill>
              <a:schemeClr val="bg1"/>
            </a:solidFill>
            <a:latin typeface="Century Gothic" panose="020B0502020202020204" pitchFamily="34" charset="0"/>
          </a:endParaRPr>
        </a:p>
      </xdr:txBody>
    </xdr:sp>
    <xdr:clientData/>
  </xdr:twoCellAnchor>
  <xdr:twoCellAnchor editAs="absolute">
    <xdr:from>
      <xdr:col>4</xdr:col>
      <xdr:colOff>498788</xdr:colOff>
      <xdr:row>0</xdr:row>
      <xdr:rowOff>34762</xdr:rowOff>
    </xdr:from>
    <xdr:to>
      <xdr:col>4</xdr:col>
      <xdr:colOff>2200606</xdr:colOff>
      <xdr:row>1</xdr:row>
      <xdr:rowOff>18578</xdr:rowOff>
    </xdr:to>
    <xdr:sp macro="[0]!Средне" textlink="$J$1">
      <xdr:nvSpPr>
        <xdr:cNvPr id="3" name="Прямоугольник: скругленные углы 2">
          <a:extLst>
            <a:ext uri="{FF2B5EF4-FFF2-40B4-BE49-F238E27FC236}">
              <a16:creationId xmlns:a16="http://schemas.microsoft.com/office/drawing/2014/main" id="{8F2A9039-5559-FE8C-1813-5C753AF762F0}"/>
            </a:ext>
          </a:extLst>
        </xdr:cNvPr>
        <xdr:cNvSpPr/>
      </xdr:nvSpPr>
      <xdr:spPr>
        <a:xfrm>
          <a:off x="2022788" y="34762"/>
          <a:ext cx="1701818" cy="288616"/>
        </a:xfrm>
        <a:prstGeom prst="roundRect">
          <a:avLst/>
        </a:prstGeom>
        <a:solidFill>
          <a:srgbClr val="00206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marL="0" indent="0" algn="ctr"/>
          <a:fld id="{212C0323-4A95-4DDC-A77B-0AF85FB188C1}" type="TxLink">
            <a:rPr lang="ru-RU" sz="1400" b="0" i="0" u="none" strike="noStrike" kern="1200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pPr marL="0" indent="0" algn="ctr"/>
            <a:t>Средне - 20</a:t>
          </a:fld>
          <a:endParaRPr lang="LID4096" sz="1400" b="0" i="0" u="none" strike="noStrike" kern="1200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twoCellAnchor>
  <xdr:twoCellAnchor editAs="absolute">
    <xdr:from>
      <xdr:col>4</xdr:col>
      <xdr:colOff>2238365</xdr:colOff>
      <xdr:row>0</xdr:row>
      <xdr:rowOff>34762</xdr:rowOff>
    </xdr:from>
    <xdr:to>
      <xdr:col>4</xdr:col>
      <xdr:colOff>3940183</xdr:colOff>
      <xdr:row>1</xdr:row>
      <xdr:rowOff>18578</xdr:rowOff>
    </xdr:to>
    <xdr:sp macro="[0]!Сложно" textlink="$K$1">
      <xdr:nvSpPr>
        <xdr:cNvPr id="4" name="Прямоугольник: скругленные углы 3">
          <a:extLst>
            <a:ext uri="{FF2B5EF4-FFF2-40B4-BE49-F238E27FC236}">
              <a16:creationId xmlns:a16="http://schemas.microsoft.com/office/drawing/2014/main" id="{586A4FEA-251F-93F3-AFD6-9A602D10F19B}"/>
            </a:ext>
          </a:extLst>
        </xdr:cNvPr>
        <xdr:cNvSpPr/>
      </xdr:nvSpPr>
      <xdr:spPr>
        <a:xfrm>
          <a:off x="3762365" y="34762"/>
          <a:ext cx="1701818" cy="288616"/>
        </a:xfrm>
        <a:prstGeom prst="roundRect">
          <a:avLst/>
        </a:prstGeom>
        <a:solidFill>
          <a:srgbClr val="00206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marL="0" indent="0" algn="ctr"/>
          <a:fld id="{F3CCC744-DBDD-4C17-8A70-FF2615757998}" type="TxLink">
            <a:rPr lang="ru-RU" sz="1400" b="0" i="0" u="none" strike="noStrike" kern="1200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pPr marL="0" indent="0" algn="ctr"/>
            <a:t>Сложно - 18</a:t>
          </a:fld>
          <a:endParaRPr lang="LID4096" sz="1400" b="0" i="0" u="none" strike="noStrike" kern="1200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twoCellAnchor>
  <xdr:twoCellAnchor editAs="absolute">
    <xdr:from>
      <xdr:col>4</xdr:col>
      <xdr:colOff>3977942</xdr:colOff>
      <xdr:row>0</xdr:row>
      <xdr:rowOff>34762</xdr:rowOff>
    </xdr:from>
    <xdr:to>
      <xdr:col>4</xdr:col>
      <xdr:colOff>5679760</xdr:colOff>
      <xdr:row>1</xdr:row>
      <xdr:rowOff>18578</xdr:rowOff>
    </xdr:to>
    <xdr:sp macro="[0]!СУПЕР_ИГРА" textlink="$L$1">
      <xdr:nvSpPr>
        <xdr:cNvPr id="5" name="Прямоугольник: скругленные углы 4">
          <a:extLst>
            <a:ext uri="{FF2B5EF4-FFF2-40B4-BE49-F238E27FC236}">
              <a16:creationId xmlns:a16="http://schemas.microsoft.com/office/drawing/2014/main" id="{BEDC2E1C-0803-5C2B-BDF6-9A753571E866}"/>
            </a:ext>
          </a:extLst>
        </xdr:cNvPr>
        <xdr:cNvSpPr/>
      </xdr:nvSpPr>
      <xdr:spPr>
        <a:xfrm>
          <a:off x="5501942" y="34762"/>
          <a:ext cx="1701818" cy="288616"/>
        </a:xfrm>
        <a:prstGeom prst="roundRect">
          <a:avLst/>
        </a:prstGeom>
        <a:solidFill>
          <a:srgbClr val="00206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marL="0" indent="0" algn="ctr"/>
          <a:fld id="{C495A0CF-361C-4469-8AA2-A5F12F7F253C}" type="TxLink">
            <a:rPr lang="ru-RU" sz="1400" b="0" i="0" u="none" strike="noStrike" kern="1200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pPr marL="0" indent="0" algn="ctr"/>
            <a:t>СУПЕР ИГРА - 14</a:t>
          </a:fld>
          <a:endParaRPr lang="LID4096" sz="1400" b="0" i="0" u="none" strike="noStrike" kern="1200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twoCellAnchor>
  <xdr:twoCellAnchor editAs="absolute">
    <xdr:from>
      <xdr:col>4</xdr:col>
      <xdr:colOff>5717519</xdr:colOff>
      <xdr:row>0</xdr:row>
      <xdr:rowOff>34762</xdr:rowOff>
    </xdr:from>
    <xdr:to>
      <xdr:col>5</xdr:col>
      <xdr:colOff>1191486</xdr:colOff>
      <xdr:row>1</xdr:row>
      <xdr:rowOff>18578</xdr:rowOff>
    </xdr:to>
    <xdr:sp macro="[0]!Наказание" textlink="$M$1">
      <xdr:nvSpPr>
        <xdr:cNvPr id="6" name="Прямоугольник: скругленные углы 5">
          <a:extLst>
            <a:ext uri="{FF2B5EF4-FFF2-40B4-BE49-F238E27FC236}">
              <a16:creationId xmlns:a16="http://schemas.microsoft.com/office/drawing/2014/main" id="{58A17E6D-664B-B5CC-40DA-1154BB3936B9}"/>
            </a:ext>
          </a:extLst>
        </xdr:cNvPr>
        <xdr:cNvSpPr/>
      </xdr:nvSpPr>
      <xdr:spPr>
        <a:xfrm>
          <a:off x="7241519" y="34762"/>
          <a:ext cx="1547107" cy="288616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marL="0" indent="0" algn="ctr"/>
          <a:fld id="{C66616A0-6450-4B60-9D00-92B053533DD3}" type="TxLink">
            <a:rPr lang="ru-RU" sz="1400" b="1" i="0" u="none" strike="noStrike" kern="1200">
              <a:solidFill>
                <a:sysClr val="windowText" lastClr="000000"/>
              </a:solidFill>
              <a:latin typeface="Century Gothic" panose="020B0502020202020204" pitchFamily="34" charset="0"/>
              <a:ea typeface="Calibri"/>
              <a:cs typeface="Calibri"/>
            </a:rPr>
            <a:pPr marL="0" indent="0" algn="ctr"/>
            <a:t>Наказание - 72</a:t>
          </a:fld>
          <a:endParaRPr lang="LID4096" sz="1400" b="1" i="0" u="none" strike="noStrike" kern="1200">
            <a:solidFill>
              <a:sysClr val="windowText" lastClr="000000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twoCellAnchor>
  <xdr:twoCellAnchor editAs="absolute">
    <xdr:from>
      <xdr:col>5</xdr:col>
      <xdr:colOff>1229247</xdr:colOff>
      <xdr:row>0</xdr:row>
      <xdr:rowOff>34762</xdr:rowOff>
    </xdr:from>
    <xdr:to>
      <xdr:col>7</xdr:col>
      <xdr:colOff>124594</xdr:colOff>
      <xdr:row>1</xdr:row>
      <xdr:rowOff>18578</xdr:rowOff>
    </xdr:to>
    <xdr:sp macro="[0]!Задания" textlink="$N$1">
      <xdr:nvSpPr>
        <xdr:cNvPr id="7" name="Прямоугольник: скругленные углы 6">
          <a:extLst>
            <a:ext uri="{FF2B5EF4-FFF2-40B4-BE49-F238E27FC236}">
              <a16:creationId xmlns:a16="http://schemas.microsoft.com/office/drawing/2014/main" id="{E572E2FF-AA08-BD67-813A-E3565A9B7FFC}"/>
            </a:ext>
          </a:extLst>
        </xdr:cNvPr>
        <xdr:cNvSpPr/>
      </xdr:nvSpPr>
      <xdr:spPr>
        <a:xfrm>
          <a:off x="8826387" y="34762"/>
          <a:ext cx="1547107" cy="288616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marL="0" indent="0" algn="ctr"/>
          <a:fld id="{1650E926-427E-46E4-8128-0479A455CA1C}" type="TxLink">
            <a:rPr lang="ru-RU" sz="1400" b="1" i="0" u="none" strike="noStrike" kern="1200">
              <a:solidFill>
                <a:sysClr val="windowText" lastClr="000000"/>
              </a:solidFill>
              <a:latin typeface="Century Gothic" panose="020B0502020202020204" pitchFamily="34" charset="0"/>
              <a:ea typeface="Calibri"/>
              <a:cs typeface="Calibri"/>
            </a:rPr>
            <a:pPr marL="0" indent="0" algn="ctr"/>
            <a:t>Задание - 45</a:t>
          </a:fld>
          <a:endParaRPr lang="LID4096" sz="1400" b="1" i="0" u="none" strike="noStrike" kern="1200">
            <a:solidFill>
              <a:sysClr val="windowText" lastClr="000000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twoCellAnchor>
  <xdr:twoCellAnchor editAs="absolute">
    <xdr:from>
      <xdr:col>17</xdr:col>
      <xdr:colOff>236636</xdr:colOff>
      <xdr:row>0</xdr:row>
      <xdr:rowOff>11902</xdr:rowOff>
    </xdr:from>
    <xdr:to>
      <xdr:col>17</xdr:col>
      <xdr:colOff>596636</xdr:colOff>
      <xdr:row>1</xdr:row>
      <xdr:rowOff>67102</xdr:rowOff>
    </xdr:to>
    <xdr:sp macro="[0]!Снять_фильтр" textlink="">
      <xdr:nvSpPr>
        <xdr:cNvPr id="8" name="Овал 7">
          <a:extLst>
            <a:ext uri="{FF2B5EF4-FFF2-40B4-BE49-F238E27FC236}">
              <a16:creationId xmlns:a16="http://schemas.microsoft.com/office/drawing/2014/main" id="{2616D50C-83CA-798A-9B69-DE8FE2D1BEE7}"/>
            </a:ext>
          </a:extLst>
        </xdr:cNvPr>
        <xdr:cNvSpPr/>
      </xdr:nvSpPr>
      <xdr:spPr>
        <a:xfrm>
          <a:off x="11582816" y="11902"/>
          <a:ext cx="360000" cy="360000"/>
        </a:xfrm>
        <a:prstGeom prst="ellipse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marL="0" indent="0" algn="ctr"/>
          <a:r>
            <a:rPr lang="en-US" sz="2800" b="1" i="0" u="none" strike="noStrike" kern="1200">
              <a:solidFill>
                <a:sysClr val="windowText" lastClr="000000"/>
              </a:solidFill>
              <a:latin typeface="Arial Rounded MT Bold" panose="020F0704030504030204" pitchFamily="34" charset="0"/>
              <a:ea typeface="Calibri"/>
              <a:cs typeface="Arial" panose="020B0604020202020204" pitchFamily="34" charset="0"/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152400</xdr:colOff>
      <xdr:row>0</xdr:row>
      <xdr:rowOff>45720</xdr:rowOff>
    </xdr:from>
    <xdr:to>
      <xdr:col>3</xdr:col>
      <xdr:colOff>500400</xdr:colOff>
      <xdr:row>0</xdr:row>
      <xdr:rowOff>510540</xdr:rowOff>
    </xdr:to>
    <xdr:sp macro="[0]!Легко" textlink="$I$2">
      <xdr:nvSpPr>
        <xdr:cNvPr id="2" name="Прямоугольник: скругленные углы 1">
          <a:extLst>
            <a:ext uri="{FF2B5EF4-FFF2-40B4-BE49-F238E27FC236}">
              <a16:creationId xmlns:a16="http://schemas.microsoft.com/office/drawing/2014/main" id="{E3D9D115-2A44-4F57-8799-AE04E422F73F}"/>
            </a:ext>
          </a:extLst>
        </xdr:cNvPr>
        <xdr:cNvSpPr/>
      </xdr:nvSpPr>
      <xdr:spPr>
        <a:xfrm>
          <a:off x="152400" y="45720"/>
          <a:ext cx="1872000" cy="464820"/>
        </a:xfrm>
        <a:prstGeom prst="roundRect">
          <a:avLst/>
        </a:prstGeom>
        <a:solidFill>
          <a:srgbClr val="00206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fld id="{A120A134-1B7B-472B-9E72-5F30D5C401DD}" type="TxLink">
            <a:rPr lang="ru-RU" sz="1800" b="1" i="0" u="none" strike="noStrike" kern="1200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Легко - 0</a:t>
          </a:fld>
          <a:endParaRPr lang="LID4096" sz="1800" b="1" kern="120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3</xdr:col>
      <xdr:colOff>546100</xdr:colOff>
      <xdr:row>0</xdr:row>
      <xdr:rowOff>45720</xdr:rowOff>
    </xdr:from>
    <xdr:to>
      <xdr:col>4</xdr:col>
      <xdr:colOff>718840</xdr:colOff>
      <xdr:row>0</xdr:row>
      <xdr:rowOff>510540</xdr:rowOff>
    </xdr:to>
    <xdr:sp macro="[0]!Средне" textlink="$J$2">
      <xdr:nvSpPr>
        <xdr:cNvPr id="3" name="Прямоугольник: скругленные углы 2">
          <a:extLst>
            <a:ext uri="{FF2B5EF4-FFF2-40B4-BE49-F238E27FC236}">
              <a16:creationId xmlns:a16="http://schemas.microsoft.com/office/drawing/2014/main" id="{F6774EDA-FE0C-479A-B102-C3A5462A1AB1}"/>
            </a:ext>
          </a:extLst>
        </xdr:cNvPr>
        <xdr:cNvSpPr/>
      </xdr:nvSpPr>
      <xdr:spPr>
        <a:xfrm>
          <a:off x="2070100" y="45720"/>
          <a:ext cx="1872000" cy="464820"/>
        </a:xfrm>
        <a:prstGeom prst="roundRect">
          <a:avLst/>
        </a:prstGeom>
        <a:solidFill>
          <a:srgbClr val="00206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marL="0" indent="0" algn="ctr"/>
          <a:fld id="{212C0323-4A95-4DDC-A77B-0AF85FB188C1}" type="TxLink">
            <a:rPr lang="ru-RU" sz="1800" b="1" i="0" u="none" strike="noStrike" kern="1200">
              <a:solidFill>
                <a:schemeClr val="bg1"/>
              </a:solidFill>
              <a:latin typeface="Calibri"/>
              <a:ea typeface="Calibri"/>
              <a:cs typeface="Calibri"/>
            </a:rPr>
            <a:pPr marL="0" indent="0" algn="ctr"/>
            <a:t>Средне - 0</a:t>
          </a:fld>
          <a:endParaRPr lang="LID4096" sz="1800" b="1" i="0" u="none" strike="noStrike" kern="1200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absolute">
    <xdr:from>
      <xdr:col>4</xdr:col>
      <xdr:colOff>764540</xdr:colOff>
      <xdr:row>0</xdr:row>
      <xdr:rowOff>45720</xdr:rowOff>
    </xdr:from>
    <xdr:to>
      <xdr:col>4</xdr:col>
      <xdr:colOff>2636540</xdr:colOff>
      <xdr:row>0</xdr:row>
      <xdr:rowOff>510540</xdr:rowOff>
    </xdr:to>
    <xdr:sp macro="[0]!Сложно" textlink="$K$2">
      <xdr:nvSpPr>
        <xdr:cNvPr id="4" name="Прямоугольник: скругленные углы 3">
          <a:extLst>
            <a:ext uri="{FF2B5EF4-FFF2-40B4-BE49-F238E27FC236}">
              <a16:creationId xmlns:a16="http://schemas.microsoft.com/office/drawing/2014/main" id="{EFC89DB8-DA07-414B-85E1-364BFC754FE8}"/>
            </a:ext>
          </a:extLst>
        </xdr:cNvPr>
        <xdr:cNvSpPr/>
      </xdr:nvSpPr>
      <xdr:spPr>
        <a:xfrm>
          <a:off x="3987800" y="45720"/>
          <a:ext cx="1872000" cy="464820"/>
        </a:xfrm>
        <a:prstGeom prst="roundRect">
          <a:avLst/>
        </a:prstGeom>
        <a:solidFill>
          <a:srgbClr val="00206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marL="0" indent="0" algn="ctr"/>
          <a:fld id="{F3CCC744-DBDD-4C17-8A70-FF2615757998}" type="TxLink">
            <a:rPr lang="ru-RU" sz="1800" b="1" i="0" u="none" strike="noStrike" kern="1200">
              <a:solidFill>
                <a:schemeClr val="bg1"/>
              </a:solidFill>
              <a:latin typeface="Calibri"/>
              <a:ea typeface="Calibri"/>
              <a:cs typeface="Calibri"/>
            </a:rPr>
            <a:pPr marL="0" indent="0" algn="ctr"/>
            <a:t>Сложно - 0</a:t>
          </a:fld>
          <a:endParaRPr lang="LID4096" sz="1800" b="1" i="0" u="none" strike="noStrike" kern="1200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absolute">
    <xdr:from>
      <xdr:col>4</xdr:col>
      <xdr:colOff>2682240</xdr:colOff>
      <xdr:row>0</xdr:row>
      <xdr:rowOff>45720</xdr:rowOff>
    </xdr:from>
    <xdr:to>
      <xdr:col>4</xdr:col>
      <xdr:colOff>4554240</xdr:colOff>
      <xdr:row>0</xdr:row>
      <xdr:rowOff>510540</xdr:rowOff>
    </xdr:to>
    <xdr:sp macro="[0]!СУПЕР_ИГРА" textlink="$L$2">
      <xdr:nvSpPr>
        <xdr:cNvPr id="5" name="Прямоугольник: скругленные углы 4">
          <a:extLst>
            <a:ext uri="{FF2B5EF4-FFF2-40B4-BE49-F238E27FC236}">
              <a16:creationId xmlns:a16="http://schemas.microsoft.com/office/drawing/2014/main" id="{9673B142-38D5-4F06-A429-4301DC0E66B0}"/>
            </a:ext>
          </a:extLst>
        </xdr:cNvPr>
        <xdr:cNvSpPr/>
      </xdr:nvSpPr>
      <xdr:spPr>
        <a:xfrm>
          <a:off x="5905500" y="45720"/>
          <a:ext cx="1872000" cy="464820"/>
        </a:xfrm>
        <a:prstGeom prst="roundRect">
          <a:avLst/>
        </a:prstGeom>
        <a:solidFill>
          <a:srgbClr val="00206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marL="0" indent="0" algn="ctr"/>
          <a:fld id="{C495A0CF-361C-4469-8AA2-A5F12F7F253C}" type="TxLink">
            <a:rPr lang="ru-RU" sz="1800" b="1" i="0" u="none" strike="noStrike" kern="1200">
              <a:solidFill>
                <a:schemeClr val="bg1"/>
              </a:solidFill>
              <a:latin typeface="Calibri"/>
              <a:ea typeface="Calibri"/>
              <a:cs typeface="Calibri"/>
            </a:rPr>
            <a:pPr marL="0" indent="0" algn="ctr"/>
            <a:t>СУПЕР ИГРА - 0</a:t>
          </a:fld>
          <a:endParaRPr lang="LID4096" sz="1800" b="1" i="0" u="none" strike="noStrike" kern="1200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absolute">
    <xdr:from>
      <xdr:col>4</xdr:col>
      <xdr:colOff>4591051</xdr:colOff>
      <xdr:row>0</xdr:row>
      <xdr:rowOff>45720</xdr:rowOff>
    </xdr:from>
    <xdr:to>
      <xdr:col>5</xdr:col>
      <xdr:colOff>1294149</xdr:colOff>
      <xdr:row>0</xdr:row>
      <xdr:rowOff>510540</xdr:rowOff>
    </xdr:to>
    <xdr:sp macro="[0]!Наказание" textlink="$M$2">
      <xdr:nvSpPr>
        <xdr:cNvPr id="6" name="Прямоугольник: скругленные углы 5">
          <a:extLst>
            <a:ext uri="{FF2B5EF4-FFF2-40B4-BE49-F238E27FC236}">
              <a16:creationId xmlns:a16="http://schemas.microsoft.com/office/drawing/2014/main" id="{9836B508-9D81-4B79-8CB5-BC1D2FCA72B7}"/>
            </a:ext>
          </a:extLst>
        </xdr:cNvPr>
        <xdr:cNvSpPr/>
      </xdr:nvSpPr>
      <xdr:spPr>
        <a:xfrm>
          <a:off x="7814311" y="45720"/>
          <a:ext cx="1701818" cy="464820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marL="0" indent="0" algn="ctr"/>
          <a:fld id="{C66616A0-6450-4B60-9D00-92B053533DD3}" type="TxLink">
            <a:rPr lang="ru-RU" sz="1800" b="1" i="0" u="none" strike="noStrike" kern="1200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marL="0" indent="0" algn="ctr"/>
            <a:t>Наказание - 0</a:t>
          </a:fld>
          <a:endParaRPr lang="LID4096" sz="1800" b="1" i="0" u="none" strike="noStrike" kern="1200">
            <a:solidFill>
              <a:sysClr val="windowText" lastClr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absolute">
    <xdr:from>
      <xdr:col>5</xdr:col>
      <xdr:colOff>1327151</xdr:colOff>
      <xdr:row>0</xdr:row>
      <xdr:rowOff>45720</xdr:rowOff>
    </xdr:from>
    <xdr:to>
      <xdr:col>7</xdr:col>
      <xdr:colOff>377209</xdr:colOff>
      <xdr:row>0</xdr:row>
      <xdr:rowOff>510540</xdr:rowOff>
    </xdr:to>
    <xdr:sp macro="[0]!Задания" textlink="$N$2">
      <xdr:nvSpPr>
        <xdr:cNvPr id="7" name="Прямоугольник: скругленные углы 6">
          <a:extLst>
            <a:ext uri="{FF2B5EF4-FFF2-40B4-BE49-F238E27FC236}">
              <a16:creationId xmlns:a16="http://schemas.microsoft.com/office/drawing/2014/main" id="{7ECCC8EC-B0D3-4B48-8D9A-ACA988728AC1}"/>
            </a:ext>
          </a:extLst>
        </xdr:cNvPr>
        <xdr:cNvSpPr/>
      </xdr:nvSpPr>
      <xdr:spPr>
        <a:xfrm>
          <a:off x="9549131" y="45720"/>
          <a:ext cx="1701818" cy="464820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marL="0" indent="0" algn="ctr"/>
          <a:fld id="{1650E926-427E-46E4-8128-0479A455CA1C}" type="TxLink">
            <a:rPr lang="ru-RU" sz="1800" b="1" i="0" u="none" strike="noStrike" kern="1200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marL="0" indent="0" algn="ctr"/>
            <a:t>Задание - 0</a:t>
          </a:fld>
          <a:endParaRPr lang="LID4096" sz="1800" b="1" i="0" u="none" strike="noStrike" kern="1200">
            <a:solidFill>
              <a:sysClr val="windowText" lastClr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absolute">
    <xdr:from>
      <xdr:col>7</xdr:col>
      <xdr:colOff>419099</xdr:colOff>
      <xdr:row>0</xdr:row>
      <xdr:rowOff>45720</xdr:rowOff>
    </xdr:from>
    <xdr:to>
      <xdr:col>7</xdr:col>
      <xdr:colOff>1085868</xdr:colOff>
      <xdr:row>0</xdr:row>
      <xdr:rowOff>510540</xdr:rowOff>
    </xdr:to>
    <xdr:sp macro="[0]!Снять_фильтр" textlink="$N$2">
      <xdr:nvSpPr>
        <xdr:cNvPr id="8" name="Прямоугольник: скругленные углы 7">
          <a:extLst>
            <a:ext uri="{FF2B5EF4-FFF2-40B4-BE49-F238E27FC236}">
              <a16:creationId xmlns:a16="http://schemas.microsoft.com/office/drawing/2014/main" id="{ABB89A6C-915D-47EA-B255-78107C5A0B1F}"/>
            </a:ext>
          </a:extLst>
        </xdr:cNvPr>
        <xdr:cNvSpPr/>
      </xdr:nvSpPr>
      <xdr:spPr>
        <a:xfrm>
          <a:off x="11292839" y="45720"/>
          <a:ext cx="666769" cy="464820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marL="0" indent="0" algn="ctr"/>
          <a:r>
            <a:rPr lang="ru-RU" sz="4400" b="1" i="0" u="none" strike="noStrike" kern="1200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t>Х</a:t>
          </a:r>
          <a:endParaRPr lang="LID4096" sz="4400" b="1" i="0" u="none" strike="noStrike" kern="1200">
            <a:solidFill>
              <a:sysClr val="windowText" lastClr="000000"/>
            </a:solidFill>
            <a:latin typeface="Calibri"/>
            <a:ea typeface="Calibri"/>
            <a:cs typeface="Calibri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85A47D-41AC-4458-9FDB-A1807C63863A}">
  <dimension ref="A1"/>
  <sheetViews>
    <sheetView showGridLines="0" workbookViewId="0">
      <selection activeCell="M11" sqref="M11"/>
    </sheetView>
  </sheetViews>
  <sheetFormatPr defaultRowHeight="14.4" x14ac:dyDescent="0.3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B1:Q148"/>
  <sheetViews>
    <sheetView showGridLines="0" tabSelected="1" workbookViewId="0">
      <pane ySplit="3" topLeftCell="A14" activePane="bottomLeft" state="frozen"/>
      <selection pane="bottomLeft" activeCell="E32" sqref="E32"/>
    </sheetView>
  </sheetViews>
  <sheetFormatPr defaultRowHeight="14.4" x14ac:dyDescent="0.3"/>
  <cols>
    <col min="1" max="1" width="2.5546875" customWidth="1"/>
    <col min="2" max="2" width="4.44140625" style="1" customWidth="1"/>
    <col min="3" max="3" width="15.21875" style="1" customWidth="1"/>
    <col min="4" max="4" width="24.77734375" hidden="1" customWidth="1"/>
    <col min="5" max="5" width="88.5546875" style="7" customWidth="1"/>
    <col min="6" max="6" width="20.21875" style="1" bestFit="1" customWidth="1"/>
    <col min="7" max="7" width="18.44140625" style="1" customWidth="1"/>
    <col min="8" max="8" width="16" style="1" customWidth="1"/>
    <col min="9" max="14" width="8.88671875" hidden="1" customWidth="1"/>
    <col min="15" max="17" width="0" hidden="1" customWidth="1"/>
  </cols>
  <sheetData>
    <row r="1" spans="2:17" ht="24" customHeight="1" x14ac:dyDescent="0.3">
      <c r="B1" s="14"/>
      <c r="C1" s="15"/>
      <c r="D1" s="16"/>
      <c r="E1" s="17"/>
      <c r="F1" s="15"/>
      <c r="G1" s="15"/>
      <c r="H1" s="22"/>
      <c r="I1" s="11" t="str">
        <f>_xlfn.CONCAT(I3:I4)</f>
        <v>Легко - -14</v>
      </c>
      <c r="J1" s="4" t="str">
        <f t="shared" ref="J1:L1" si="0">_xlfn.CONCAT(J3:J4)</f>
        <v>Средне - 20</v>
      </c>
      <c r="K1" s="4" t="str">
        <f t="shared" si="0"/>
        <v>Сложно - 18</v>
      </c>
      <c r="L1" s="4" t="str">
        <f t="shared" si="0"/>
        <v>СУПЕР ИГРА - 14</v>
      </c>
      <c r="M1" s="4" t="str">
        <f t="shared" ref="M1" si="1">_xlfn.CONCAT(M3:M4)</f>
        <v>Наказание - 72</v>
      </c>
      <c r="N1" s="4" t="str">
        <f t="shared" ref="N1" si="2">_xlfn.CONCAT(N3:N4)</f>
        <v>Задание - 45</v>
      </c>
      <c r="O1" s="4"/>
      <c r="Q1">
        <f>MAX(H5:H148)</f>
        <v>4</v>
      </c>
    </row>
    <row r="2" spans="2:17" ht="31.8" customHeight="1" thickBot="1" x14ac:dyDescent="0.35">
      <c r="B2" s="18" t="s">
        <v>111</v>
      </c>
      <c r="C2" s="19"/>
      <c r="D2" s="19"/>
      <c r="E2" s="19"/>
      <c r="F2" s="19"/>
      <c r="G2" s="19"/>
      <c r="H2" s="20"/>
      <c r="I2" s="11"/>
      <c r="J2" s="4"/>
      <c r="K2" s="4"/>
      <c r="L2" s="4"/>
      <c r="M2" s="4"/>
      <c r="N2" s="4"/>
      <c r="O2" s="4"/>
    </row>
    <row r="3" spans="2:17" s="3" customFormat="1" ht="28.2" customHeight="1" x14ac:dyDescent="0.3">
      <c r="B3" s="12" t="s">
        <v>0</v>
      </c>
      <c r="C3" s="12" t="s">
        <v>9</v>
      </c>
      <c r="D3" s="12" t="s">
        <v>1</v>
      </c>
      <c r="E3" s="13" t="s">
        <v>2</v>
      </c>
      <c r="F3" s="12" t="s">
        <v>13</v>
      </c>
      <c r="G3" s="12" t="s">
        <v>3</v>
      </c>
      <c r="H3" s="12" t="s">
        <v>4</v>
      </c>
      <c r="I3" s="4" t="s">
        <v>45</v>
      </c>
      <c r="J3" s="4" t="s">
        <v>46</v>
      </c>
      <c r="K3" s="4" t="s">
        <v>47</v>
      </c>
      <c r="L3" s="4" t="s">
        <v>48</v>
      </c>
      <c r="M3" s="4" t="s">
        <v>50</v>
      </c>
      <c r="N3" s="4" t="s">
        <v>49</v>
      </c>
      <c r="O3" s="4"/>
    </row>
    <row r="4" spans="2:17" x14ac:dyDescent="0.3">
      <c r="I4" s="4">
        <f>SUM(I5:I148)</f>
        <v>-14</v>
      </c>
      <c r="J4" s="4">
        <f t="shared" ref="J4:K4" si="3">SUM(J5:J148)</f>
        <v>20</v>
      </c>
      <c r="K4" s="4">
        <f t="shared" si="3"/>
        <v>18</v>
      </c>
      <c r="L4" s="4">
        <f>SUM(L5:L148)</f>
        <v>14</v>
      </c>
      <c r="M4" s="4">
        <f>SUM(M5:M148)</f>
        <v>72</v>
      </c>
      <c r="N4" s="4">
        <f>SUM(N5:N148)</f>
        <v>45</v>
      </c>
      <c r="O4" s="4">
        <f>SUM(O5:O148)</f>
        <v>31</v>
      </c>
    </row>
    <row r="5" spans="2:17" s="5" customFormat="1" ht="25.8" customHeight="1" x14ac:dyDescent="0.3">
      <c r="B5" s="4">
        <v>1</v>
      </c>
      <c r="C5" s="8" t="s">
        <v>10</v>
      </c>
      <c r="D5" s="9" t="s">
        <v>15</v>
      </c>
      <c r="E5" s="10" t="s">
        <v>12</v>
      </c>
      <c r="F5" s="8" t="s">
        <v>14</v>
      </c>
      <c r="G5" s="8" t="s">
        <v>7</v>
      </c>
      <c r="H5" s="9"/>
      <c r="I5" s="4">
        <f>IF($G5="Легкая",1,0)-O5</f>
        <v>0</v>
      </c>
      <c r="J5" s="4">
        <f>IF($G5="Средняя",1,0)-O5</f>
        <v>0</v>
      </c>
      <c r="K5" s="4">
        <f>IF($G5="Сложная",1,0)-O5</f>
        <v>1</v>
      </c>
      <c r="L5" s="4">
        <f>IF($G5="СУПЕР ИГРА",1,0)-O5</f>
        <v>0</v>
      </c>
      <c r="M5" s="4">
        <f>IF($C5="НАКАЗАНИЕ",1,0)-P5</f>
        <v>1</v>
      </c>
      <c r="N5" s="4">
        <f>IF($C5="ЗАДАНИЕ",1,0)-P5</f>
        <v>0</v>
      </c>
      <c r="O5" s="4">
        <f>IF(H5&gt;0,1,0)</f>
        <v>0</v>
      </c>
    </row>
    <row r="6" spans="2:17" s="5" customFormat="1" ht="25.8" customHeight="1" x14ac:dyDescent="0.3">
      <c r="B6" s="4">
        <f>IF(E6&gt;0,1+B5,"")</f>
        <v>2</v>
      </c>
      <c r="C6" s="8" t="s">
        <v>10</v>
      </c>
      <c r="D6" s="9" t="s">
        <v>17</v>
      </c>
      <c r="E6" s="10" t="s">
        <v>16</v>
      </c>
      <c r="F6" s="8" t="s">
        <v>18</v>
      </c>
      <c r="G6" s="8" t="s">
        <v>5</v>
      </c>
      <c r="H6" s="8"/>
      <c r="I6" s="4">
        <f t="shared" ref="I6:I69" si="4">IF($G6="Легкая",1,0)-O6</f>
        <v>1</v>
      </c>
      <c r="J6" s="4">
        <f t="shared" ref="J6:J148" si="5">IF($G6="Средняя",1,0)</f>
        <v>0</v>
      </c>
      <c r="K6" s="4">
        <f t="shared" ref="K6:K148" si="6">IF($G6="Сложная",1,0)</f>
        <v>0</v>
      </c>
      <c r="L6" s="4">
        <f t="shared" ref="L6:L148" si="7">IF($G6="СУПЕР ИГРА",1,0)</f>
        <v>0</v>
      </c>
      <c r="M6" s="4">
        <f t="shared" ref="M6:M148" si="8">IF($C6="НАКАЗАНИЕ",1,0)</f>
        <v>1</v>
      </c>
      <c r="N6" s="4">
        <f t="shared" ref="N6:N148" si="9">IF($C6="ЗАДАНИЕ",1,0)</f>
        <v>0</v>
      </c>
      <c r="O6" s="4">
        <f t="shared" ref="O6:O69" si="10">IF(H6&gt;0,1,0)</f>
        <v>0</v>
      </c>
    </row>
    <row r="7" spans="2:17" s="5" customFormat="1" ht="25.8" customHeight="1" x14ac:dyDescent="0.3">
      <c r="B7" s="4">
        <f t="shared" ref="B7:B70" si="11">IF(E7&gt;0,1+B6,"")</f>
        <v>3</v>
      </c>
      <c r="C7" s="8" t="s">
        <v>10</v>
      </c>
      <c r="D7" s="9" t="s">
        <v>21</v>
      </c>
      <c r="E7" s="10" t="s">
        <v>20</v>
      </c>
      <c r="F7" s="8" t="s">
        <v>19</v>
      </c>
      <c r="G7" s="8" t="s">
        <v>5</v>
      </c>
      <c r="H7" s="8"/>
      <c r="I7" s="4">
        <f t="shared" si="4"/>
        <v>1</v>
      </c>
      <c r="J7" s="4">
        <f t="shared" si="5"/>
        <v>0</v>
      </c>
      <c r="K7" s="4">
        <f t="shared" si="6"/>
        <v>0</v>
      </c>
      <c r="L7" s="4">
        <f t="shared" si="7"/>
        <v>0</v>
      </c>
      <c r="M7" s="4">
        <f t="shared" si="8"/>
        <v>1</v>
      </c>
      <c r="N7" s="4">
        <f t="shared" si="9"/>
        <v>0</v>
      </c>
      <c r="O7" s="4">
        <f t="shared" si="10"/>
        <v>0</v>
      </c>
    </row>
    <row r="8" spans="2:17" s="5" customFormat="1" ht="43.2" x14ac:dyDescent="0.3">
      <c r="B8" s="4">
        <f t="shared" si="11"/>
        <v>4</v>
      </c>
      <c r="C8" s="8" t="s">
        <v>11</v>
      </c>
      <c r="D8" s="9" t="s">
        <v>23</v>
      </c>
      <c r="E8" s="10" t="s">
        <v>22</v>
      </c>
      <c r="F8" s="8" t="s">
        <v>24</v>
      </c>
      <c r="G8" s="8" t="s">
        <v>6</v>
      </c>
      <c r="H8" s="9"/>
      <c r="I8" s="4">
        <f t="shared" si="4"/>
        <v>0</v>
      </c>
      <c r="J8" s="4">
        <f t="shared" si="5"/>
        <v>1</v>
      </c>
      <c r="K8" s="4">
        <f t="shared" si="6"/>
        <v>0</v>
      </c>
      <c r="L8" s="4">
        <f t="shared" si="7"/>
        <v>0</v>
      </c>
      <c r="M8" s="4">
        <f t="shared" si="8"/>
        <v>0</v>
      </c>
      <c r="N8" s="4">
        <f t="shared" si="9"/>
        <v>1</v>
      </c>
      <c r="O8" s="4">
        <f t="shared" si="10"/>
        <v>0</v>
      </c>
    </row>
    <row r="9" spans="2:17" s="5" customFormat="1" ht="100.8" x14ac:dyDescent="0.3">
      <c r="B9" s="4">
        <f t="shared" si="11"/>
        <v>5</v>
      </c>
      <c r="C9" s="8" t="s">
        <v>10</v>
      </c>
      <c r="D9" s="9" t="s">
        <v>25</v>
      </c>
      <c r="E9" s="10" t="s">
        <v>26</v>
      </c>
      <c r="F9" s="8" t="s">
        <v>27</v>
      </c>
      <c r="G9" s="8" t="s">
        <v>6</v>
      </c>
      <c r="H9" s="9"/>
      <c r="I9" s="4">
        <f t="shared" si="4"/>
        <v>0</v>
      </c>
      <c r="J9" s="4">
        <f t="shared" si="5"/>
        <v>1</v>
      </c>
      <c r="K9" s="4">
        <f t="shared" si="6"/>
        <v>0</v>
      </c>
      <c r="L9" s="4">
        <f t="shared" si="7"/>
        <v>0</v>
      </c>
      <c r="M9" s="4">
        <f t="shared" si="8"/>
        <v>1</v>
      </c>
      <c r="N9" s="4">
        <f t="shared" si="9"/>
        <v>0</v>
      </c>
      <c r="O9" s="4">
        <f t="shared" si="10"/>
        <v>0</v>
      </c>
    </row>
    <row r="10" spans="2:17" s="5" customFormat="1" ht="22.2" customHeight="1" x14ac:dyDescent="0.3">
      <c r="B10" s="4">
        <f t="shared" si="11"/>
        <v>6</v>
      </c>
      <c r="C10" s="8" t="s">
        <v>10</v>
      </c>
      <c r="D10" s="9" t="s">
        <v>30</v>
      </c>
      <c r="E10" s="10" t="s">
        <v>29</v>
      </c>
      <c r="F10" s="8" t="s">
        <v>28</v>
      </c>
      <c r="G10" s="8" t="s">
        <v>7</v>
      </c>
      <c r="H10" s="9"/>
      <c r="I10" s="4">
        <f t="shared" si="4"/>
        <v>0</v>
      </c>
      <c r="J10" s="4">
        <f t="shared" si="5"/>
        <v>0</v>
      </c>
      <c r="K10" s="4">
        <f t="shared" si="6"/>
        <v>1</v>
      </c>
      <c r="L10" s="4">
        <f t="shared" si="7"/>
        <v>0</v>
      </c>
      <c r="M10" s="4">
        <f t="shared" si="8"/>
        <v>1</v>
      </c>
      <c r="N10" s="4">
        <f t="shared" si="9"/>
        <v>0</v>
      </c>
      <c r="O10" s="4">
        <f t="shared" si="10"/>
        <v>0</v>
      </c>
    </row>
    <row r="11" spans="2:17" s="5" customFormat="1" ht="25.8" customHeight="1" x14ac:dyDescent="0.3">
      <c r="B11" s="4">
        <f t="shared" si="11"/>
        <v>7</v>
      </c>
      <c r="C11" s="8" t="s">
        <v>10</v>
      </c>
      <c r="D11" s="9" t="s">
        <v>32</v>
      </c>
      <c r="E11" s="10" t="s">
        <v>119</v>
      </c>
      <c r="F11" s="8" t="s">
        <v>31</v>
      </c>
      <c r="G11" s="8" t="s">
        <v>5</v>
      </c>
      <c r="H11" s="8"/>
      <c r="I11" s="4">
        <f t="shared" si="4"/>
        <v>1</v>
      </c>
      <c r="J11" s="4">
        <f t="shared" si="5"/>
        <v>0</v>
      </c>
      <c r="K11" s="4">
        <f t="shared" si="6"/>
        <v>0</v>
      </c>
      <c r="L11" s="4">
        <f t="shared" si="7"/>
        <v>0</v>
      </c>
      <c r="M11" s="4">
        <f t="shared" si="8"/>
        <v>1</v>
      </c>
      <c r="N11" s="4">
        <f t="shared" si="9"/>
        <v>0</v>
      </c>
      <c r="O11" s="4">
        <f t="shared" si="10"/>
        <v>0</v>
      </c>
    </row>
    <row r="12" spans="2:17" s="5" customFormat="1" ht="25.8" customHeight="1" x14ac:dyDescent="0.3">
      <c r="B12" s="4">
        <f t="shared" si="11"/>
        <v>8</v>
      </c>
      <c r="C12" s="8" t="s">
        <v>11</v>
      </c>
      <c r="D12" s="9" t="s">
        <v>33</v>
      </c>
      <c r="E12" s="10" t="s">
        <v>139</v>
      </c>
      <c r="F12" s="8" t="s">
        <v>31</v>
      </c>
      <c r="G12" s="8" t="s">
        <v>5</v>
      </c>
      <c r="H12" s="8">
        <v>4</v>
      </c>
      <c r="I12" s="4">
        <f t="shared" si="4"/>
        <v>0</v>
      </c>
      <c r="J12" s="4">
        <f t="shared" si="5"/>
        <v>0</v>
      </c>
      <c r="K12" s="4">
        <f t="shared" si="6"/>
        <v>0</v>
      </c>
      <c r="L12" s="4">
        <f t="shared" si="7"/>
        <v>0</v>
      </c>
      <c r="M12" s="4">
        <f t="shared" si="8"/>
        <v>0</v>
      </c>
      <c r="N12" s="4">
        <f t="shared" si="9"/>
        <v>1</v>
      </c>
      <c r="O12" s="4">
        <f t="shared" si="10"/>
        <v>1</v>
      </c>
    </row>
    <row r="13" spans="2:17" s="5" customFormat="1" ht="25.8" customHeight="1" x14ac:dyDescent="0.3">
      <c r="B13" s="4">
        <f t="shared" si="11"/>
        <v>9</v>
      </c>
      <c r="C13" s="8" t="s">
        <v>10</v>
      </c>
      <c r="D13" s="9" t="s">
        <v>35</v>
      </c>
      <c r="E13" s="10" t="s">
        <v>34</v>
      </c>
      <c r="F13" s="8" t="s">
        <v>31</v>
      </c>
      <c r="G13" s="8"/>
      <c r="H13" s="9"/>
      <c r="I13" s="4">
        <f t="shared" si="4"/>
        <v>0</v>
      </c>
      <c r="J13" s="4">
        <f t="shared" si="5"/>
        <v>0</v>
      </c>
      <c r="K13" s="4">
        <f t="shared" si="6"/>
        <v>0</v>
      </c>
      <c r="L13" s="4">
        <f t="shared" si="7"/>
        <v>0</v>
      </c>
      <c r="M13" s="4">
        <f t="shared" si="8"/>
        <v>1</v>
      </c>
      <c r="N13" s="4">
        <f t="shared" si="9"/>
        <v>0</v>
      </c>
      <c r="O13" s="4">
        <f t="shared" si="10"/>
        <v>0</v>
      </c>
    </row>
    <row r="14" spans="2:17" s="5" customFormat="1" ht="100.8" x14ac:dyDescent="0.3">
      <c r="B14" s="4">
        <f t="shared" si="11"/>
        <v>10</v>
      </c>
      <c r="C14" s="8" t="s">
        <v>11</v>
      </c>
      <c r="D14" s="9" t="s">
        <v>37</v>
      </c>
      <c r="E14" s="10" t="s">
        <v>36</v>
      </c>
      <c r="F14" s="8" t="s">
        <v>31</v>
      </c>
      <c r="G14" s="8" t="s">
        <v>6</v>
      </c>
      <c r="H14" s="9">
        <v>2</v>
      </c>
      <c r="I14" s="4">
        <f t="shared" si="4"/>
        <v>-1</v>
      </c>
      <c r="J14" s="4">
        <f t="shared" si="5"/>
        <v>1</v>
      </c>
      <c r="K14" s="4">
        <f t="shared" si="6"/>
        <v>0</v>
      </c>
      <c r="L14" s="4">
        <f t="shared" si="7"/>
        <v>0</v>
      </c>
      <c r="M14" s="4">
        <f t="shared" si="8"/>
        <v>0</v>
      </c>
      <c r="N14" s="4">
        <f t="shared" si="9"/>
        <v>1</v>
      </c>
      <c r="O14" s="4">
        <f t="shared" si="10"/>
        <v>1</v>
      </c>
    </row>
    <row r="15" spans="2:17" s="5" customFormat="1" ht="25.8" customHeight="1" x14ac:dyDescent="0.3">
      <c r="B15" s="4">
        <f t="shared" si="11"/>
        <v>11</v>
      </c>
      <c r="C15" s="8" t="s">
        <v>10</v>
      </c>
      <c r="D15" s="9" t="s">
        <v>38</v>
      </c>
      <c r="E15" s="10" t="s">
        <v>120</v>
      </c>
      <c r="F15" s="8" t="s">
        <v>31</v>
      </c>
      <c r="G15" s="8" t="s">
        <v>5</v>
      </c>
      <c r="H15" s="8">
        <v>1</v>
      </c>
      <c r="I15" s="4">
        <f t="shared" si="4"/>
        <v>0</v>
      </c>
      <c r="J15" s="4">
        <f t="shared" si="5"/>
        <v>0</v>
      </c>
      <c r="K15" s="4">
        <f t="shared" si="6"/>
        <v>0</v>
      </c>
      <c r="L15" s="4">
        <f t="shared" si="7"/>
        <v>0</v>
      </c>
      <c r="M15" s="4">
        <f t="shared" si="8"/>
        <v>1</v>
      </c>
      <c r="N15" s="4">
        <f t="shared" si="9"/>
        <v>0</v>
      </c>
      <c r="O15" s="4">
        <f t="shared" si="10"/>
        <v>1</v>
      </c>
    </row>
    <row r="16" spans="2:17" s="5" customFormat="1" ht="25.8" customHeight="1" x14ac:dyDescent="0.3">
      <c r="B16" s="4">
        <f t="shared" si="11"/>
        <v>12</v>
      </c>
      <c r="C16" s="8" t="s">
        <v>11</v>
      </c>
      <c r="D16" s="9" t="s">
        <v>40</v>
      </c>
      <c r="E16" s="10" t="s">
        <v>39</v>
      </c>
      <c r="F16" s="8" t="s">
        <v>31</v>
      </c>
      <c r="G16" s="8" t="s">
        <v>6</v>
      </c>
      <c r="H16" s="9"/>
      <c r="I16" s="4">
        <f t="shared" si="4"/>
        <v>0</v>
      </c>
      <c r="J16" s="4">
        <f t="shared" si="5"/>
        <v>1</v>
      </c>
      <c r="K16" s="4">
        <f t="shared" si="6"/>
        <v>0</v>
      </c>
      <c r="L16" s="4">
        <f t="shared" si="7"/>
        <v>0</v>
      </c>
      <c r="M16" s="4">
        <f t="shared" si="8"/>
        <v>0</v>
      </c>
      <c r="N16" s="4">
        <f t="shared" si="9"/>
        <v>1</v>
      </c>
      <c r="O16" s="4">
        <f t="shared" si="10"/>
        <v>0</v>
      </c>
    </row>
    <row r="17" spans="2:15" s="5" customFormat="1" ht="25.8" customHeight="1" x14ac:dyDescent="0.3">
      <c r="B17" s="4">
        <f t="shared" si="11"/>
        <v>13</v>
      </c>
      <c r="C17" s="8" t="s">
        <v>10</v>
      </c>
      <c r="D17" s="9" t="s">
        <v>41</v>
      </c>
      <c r="E17" s="10" t="s">
        <v>138</v>
      </c>
      <c r="F17" s="8" t="s">
        <v>31</v>
      </c>
      <c r="G17" s="8" t="s">
        <v>6</v>
      </c>
      <c r="H17" s="9">
        <v>3</v>
      </c>
      <c r="I17" s="4">
        <f t="shared" si="4"/>
        <v>-1</v>
      </c>
      <c r="J17" s="4">
        <f t="shared" si="5"/>
        <v>1</v>
      </c>
      <c r="K17" s="4">
        <f t="shared" si="6"/>
        <v>0</v>
      </c>
      <c r="L17" s="4">
        <f t="shared" si="7"/>
        <v>0</v>
      </c>
      <c r="M17" s="4">
        <f t="shared" si="8"/>
        <v>1</v>
      </c>
      <c r="N17" s="4">
        <f t="shared" si="9"/>
        <v>0</v>
      </c>
      <c r="O17" s="4">
        <f t="shared" si="10"/>
        <v>1</v>
      </c>
    </row>
    <row r="18" spans="2:15" s="5" customFormat="1" ht="25.8" customHeight="1" x14ac:dyDescent="0.3">
      <c r="B18" s="4">
        <f t="shared" si="11"/>
        <v>14</v>
      </c>
      <c r="C18" s="8" t="s">
        <v>11</v>
      </c>
      <c r="D18" s="9" t="s">
        <v>42</v>
      </c>
      <c r="E18" s="10" t="s">
        <v>121</v>
      </c>
      <c r="F18" s="8" t="s">
        <v>31</v>
      </c>
      <c r="G18" s="8" t="s">
        <v>5</v>
      </c>
      <c r="H18" s="8">
        <v>1</v>
      </c>
      <c r="I18" s="4">
        <f t="shared" si="4"/>
        <v>0</v>
      </c>
      <c r="J18" s="4">
        <f t="shared" si="5"/>
        <v>0</v>
      </c>
      <c r="K18" s="4">
        <f t="shared" si="6"/>
        <v>0</v>
      </c>
      <c r="L18" s="4">
        <f t="shared" si="7"/>
        <v>0</v>
      </c>
      <c r="M18" s="4">
        <f t="shared" si="8"/>
        <v>0</v>
      </c>
      <c r="N18" s="4">
        <f t="shared" si="9"/>
        <v>1</v>
      </c>
      <c r="O18" s="4">
        <f t="shared" si="10"/>
        <v>1</v>
      </c>
    </row>
    <row r="19" spans="2:15" s="5" customFormat="1" ht="25.8" customHeight="1" x14ac:dyDescent="0.3">
      <c r="B19" s="4">
        <f t="shared" si="11"/>
        <v>15</v>
      </c>
      <c r="C19" s="8" t="s">
        <v>11</v>
      </c>
      <c r="D19" s="9" t="s">
        <v>44</v>
      </c>
      <c r="E19" s="10" t="s">
        <v>43</v>
      </c>
      <c r="F19" s="8" t="s">
        <v>31</v>
      </c>
      <c r="G19" s="8" t="s">
        <v>5</v>
      </c>
      <c r="H19" s="8"/>
      <c r="I19" s="4">
        <f t="shared" si="4"/>
        <v>1</v>
      </c>
      <c r="J19" s="4">
        <f t="shared" si="5"/>
        <v>0</v>
      </c>
      <c r="K19" s="4">
        <f t="shared" si="6"/>
        <v>0</v>
      </c>
      <c r="L19" s="4">
        <f t="shared" si="7"/>
        <v>0</v>
      </c>
      <c r="M19" s="4">
        <f t="shared" si="8"/>
        <v>0</v>
      </c>
      <c r="N19" s="4">
        <f t="shared" si="9"/>
        <v>1</v>
      </c>
      <c r="O19" s="4">
        <f t="shared" si="10"/>
        <v>0</v>
      </c>
    </row>
    <row r="20" spans="2:15" s="5" customFormat="1" ht="25.8" customHeight="1" x14ac:dyDescent="0.3">
      <c r="B20" s="4">
        <f t="shared" si="11"/>
        <v>16</v>
      </c>
      <c r="C20" s="8" t="s">
        <v>10</v>
      </c>
      <c r="D20" s="9" t="s">
        <v>52</v>
      </c>
      <c r="E20" s="10" t="s">
        <v>137</v>
      </c>
      <c r="F20" s="8" t="s">
        <v>31</v>
      </c>
      <c r="G20" s="8" t="s">
        <v>5</v>
      </c>
      <c r="H20" s="8"/>
      <c r="I20" s="4">
        <f t="shared" si="4"/>
        <v>1</v>
      </c>
      <c r="J20" s="4">
        <f t="shared" si="5"/>
        <v>0</v>
      </c>
      <c r="K20" s="4">
        <f t="shared" si="6"/>
        <v>0</v>
      </c>
      <c r="L20" s="4">
        <f t="shared" si="7"/>
        <v>0</v>
      </c>
      <c r="M20" s="4">
        <f t="shared" si="8"/>
        <v>1</v>
      </c>
      <c r="N20" s="4">
        <f t="shared" si="9"/>
        <v>0</v>
      </c>
      <c r="O20" s="4">
        <f t="shared" si="10"/>
        <v>0</v>
      </c>
    </row>
    <row r="21" spans="2:15" s="5" customFormat="1" ht="25.8" customHeight="1" x14ac:dyDescent="0.3">
      <c r="B21" s="4">
        <f t="shared" si="11"/>
        <v>17</v>
      </c>
      <c r="C21" s="8" t="s">
        <v>10</v>
      </c>
      <c r="D21" s="9" t="s">
        <v>53</v>
      </c>
      <c r="E21" s="10" t="s">
        <v>51</v>
      </c>
      <c r="F21" s="8" t="s">
        <v>31</v>
      </c>
      <c r="G21" s="8" t="s">
        <v>6</v>
      </c>
      <c r="H21" s="9"/>
      <c r="I21" s="4">
        <f t="shared" si="4"/>
        <v>0</v>
      </c>
      <c r="J21" s="4">
        <f t="shared" si="5"/>
        <v>1</v>
      </c>
      <c r="K21" s="4">
        <f t="shared" si="6"/>
        <v>0</v>
      </c>
      <c r="L21" s="4">
        <f t="shared" si="7"/>
        <v>0</v>
      </c>
      <c r="M21" s="4">
        <f t="shared" si="8"/>
        <v>1</v>
      </c>
      <c r="N21" s="4">
        <f t="shared" si="9"/>
        <v>0</v>
      </c>
      <c r="O21" s="4">
        <f t="shared" si="10"/>
        <v>0</v>
      </c>
    </row>
    <row r="22" spans="2:15" s="5" customFormat="1" ht="25.8" customHeight="1" x14ac:dyDescent="0.3">
      <c r="B22" s="4">
        <f t="shared" si="11"/>
        <v>18</v>
      </c>
      <c r="C22" s="8" t="s">
        <v>11</v>
      </c>
      <c r="D22" s="9" t="s">
        <v>55</v>
      </c>
      <c r="E22" s="10" t="s">
        <v>54</v>
      </c>
      <c r="F22" s="8" t="s">
        <v>31</v>
      </c>
      <c r="G22" s="8" t="s">
        <v>5</v>
      </c>
      <c r="H22" s="8"/>
      <c r="I22" s="4">
        <f t="shared" si="4"/>
        <v>1</v>
      </c>
      <c r="J22" s="4">
        <f t="shared" si="5"/>
        <v>0</v>
      </c>
      <c r="K22" s="4">
        <f t="shared" si="6"/>
        <v>0</v>
      </c>
      <c r="L22" s="4">
        <f t="shared" si="7"/>
        <v>0</v>
      </c>
      <c r="M22" s="4">
        <f t="shared" si="8"/>
        <v>0</v>
      </c>
      <c r="N22" s="4">
        <f t="shared" si="9"/>
        <v>1</v>
      </c>
      <c r="O22" s="4">
        <f t="shared" si="10"/>
        <v>0</v>
      </c>
    </row>
    <row r="23" spans="2:15" s="5" customFormat="1" ht="25.8" customHeight="1" x14ac:dyDescent="0.3">
      <c r="B23" s="4">
        <f t="shared" si="11"/>
        <v>19</v>
      </c>
      <c r="C23" s="8" t="s">
        <v>11</v>
      </c>
      <c r="D23" s="9" t="s">
        <v>57</v>
      </c>
      <c r="E23" s="10" t="s">
        <v>56</v>
      </c>
      <c r="F23" s="8" t="s">
        <v>31</v>
      </c>
      <c r="G23" s="8" t="s">
        <v>5</v>
      </c>
      <c r="H23" s="8"/>
      <c r="I23" s="4">
        <f t="shared" si="4"/>
        <v>1</v>
      </c>
      <c r="J23" s="4">
        <f t="shared" si="5"/>
        <v>0</v>
      </c>
      <c r="K23" s="4">
        <f t="shared" si="6"/>
        <v>0</v>
      </c>
      <c r="L23" s="4">
        <f t="shared" si="7"/>
        <v>0</v>
      </c>
      <c r="M23" s="4">
        <f t="shared" si="8"/>
        <v>0</v>
      </c>
      <c r="N23" s="4">
        <f t="shared" si="9"/>
        <v>1</v>
      </c>
      <c r="O23" s="4">
        <f t="shared" si="10"/>
        <v>0</v>
      </c>
    </row>
    <row r="24" spans="2:15" s="5" customFormat="1" ht="25.8" customHeight="1" x14ac:dyDescent="0.3">
      <c r="B24" s="4">
        <f t="shared" si="11"/>
        <v>20</v>
      </c>
      <c r="C24" s="8" t="s">
        <v>10</v>
      </c>
      <c r="D24" s="9" t="s">
        <v>59</v>
      </c>
      <c r="E24" s="10" t="s">
        <v>58</v>
      </c>
      <c r="F24" s="8" t="s">
        <v>31</v>
      </c>
      <c r="G24" s="8" t="s">
        <v>8</v>
      </c>
      <c r="H24" s="9">
        <v>2</v>
      </c>
      <c r="I24" s="4">
        <f t="shared" si="4"/>
        <v>-1</v>
      </c>
      <c r="J24" s="4">
        <f t="shared" si="5"/>
        <v>0</v>
      </c>
      <c r="K24" s="4">
        <f t="shared" si="6"/>
        <v>0</v>
      </c>
      <c r="L24" s="4">
        <f t="shared" si="7"/>
        <v>1</v>
      </c>
      <c r="M24" s="4">
        <f t="shared" si="8"/>
        <v>1</v>
      </c>
      <c r="N24" s="4">
        <f t="shared" si="9"/>
        <v>0</v>
      </c>
      <c r="O24" s="4">
        <f t="shared" si="10"/>
        <v>1</v>
      </c>
    </row>
    <row r="25" spans="2:15" s="5" customFormat="1" ht="25.8" customHeight="1" x14ac:dyDescent="0.3">
      <c r="B25" s="4">
        <f t="shared" si="11"/>
        <v>21</v>
      </c>
      <c r="C25" s="8" t="s">
        <v>11</v>
      </c>
      <c r="D25" s="9" t="s">
        <v>61</v>
      </c>
      <c r="E25" s="10" t="s">
        <v>60</v>
      </c>
      <c r="F25" s="8" t="s">
        <v>31</v>
      </c>
      <c r="G25" s="8" t="s">
        <v>5</v>
      </c>
      <c r="H25" s="8"/>
      <c r="I25" s="4">
        <f t="shared" si="4"/>
        <v>1</v>
      </c>
      <c r="J25" s="4">
        <f t="shared" si="5"/>
        <v>0</v>
      </c>
      <c r="K25" s="4">
        <f t="shared" si="6"/>
        <v>0</v>
      </c>
      <c r="L25" s="4">
        <f t="shared" si="7"/>
        <v>0</v>
      </c>
      <c r="M25" s="4">
        <f t="shared" si="8"/>
        <v>0</v>
      </c>
      <c r="N25" s="4">
        <f t="shared" si="9"/>
        <v>1</v>
      </c>
      <c r="O25" s="4">
        <f t="shared" si="10"/>
        <v>0</v>
      </c>
    </row>
    <row r="26" spans="2:15" s="5" customFormat="1" ht="25.8" customHeight="1" x14ac:dyDescent="0.3">
      <c r="B26" s="4">
        <f t="shared" si="11"/>
        <v>22</v>
      </c>
      <c r="C26" s="8" t="s">
        <v>10</v>
      </c>
      <c r="D26" s="9" t="s">
        <v>62</v>
      </c>
      <c r="E26" s="10" t="s">
        <v>122</v>
      </c>
      <c r="F26" s="8" t="s">
        <v>31</v>
      </c>
      <c r="G26" s="8" t="s">
        <v>6</v>
      </c>
      <c r="H26" s="9">
        <v>4</v>
      </c>
      <c r="I26" s="4">
        <f t="shared" si="4"/>
        <v>-1</v>
      </c>
      <c r="J26" s="4">
        <f t="shared" si="5"/>
        <v>1</v>
      </c>
      <c r="K26" s="4">
        <f t="shared" si="6"/>
        <v>0</v>
      </c>
      <c r="L26" s="4">
        <f t="shared" si="7"/>
        <v>0</v>
      </c>
      <c r="M26" s="4">
        <f t="shared" si="8"/>
        <v>1</v>
      </c>
      <c r="N26" s="4">
        <f t="shared" si="9"/>
        <v>0</v>
      </c>
      <c r="O26" s="4">
        <f t="shared" si="10"/>
        <v>1</v>
      </c>
    </row>
    <row r="27" spans="2:15" s="5" customFormat="1" ht="25.8" customHeight="1" x14ac:dyDescent="0.3">
      <c r="B27" s="4">
        <f t="shared" si="11"/>
        <v>23</v>
      </c>
      <c r="C27" s="8" t="s">
        <v>10</v>
      </c>
      <c r="D27" s="9" t="s">
        <v>64</v>
      </c>
      <c r="E27" s="10" t="s">
        <v>63</v>
      </c>
      <c r="F27" s="8" t="s">
        <v>31</v>
      </c>
      <c r="G27" s="8" t="s">
        <v>6</v>
      </c>
      <c r="H27" s="9"/>
      <c r="I27" s="4">
        <f t="shared" si="4"/>
        <v>0</v>
      </c>
      <c r="J27" s="4">
        <f t="shared" si="5"/>
        <v>1</v>
      </c>
      <c r="K27" s="4">
        <f t="shared" si="6"/>
        <v>0</v>
      </c>
      <c r="L27" s="4">
        <f t="shared" si="7"/>
        <v>0</v>
      </c>
      <c r="M27" s="4">
        <f t="shared" si="8"/>
        <v>1</v>
      </c>
      <c r="N27" s="4">
        <f t="shared" si="9"/>
        <v>0</v>
      </c>
      <c r="O27" s="4">
        <f t="shared" si="10"/>
        <v>0</v>
      </c>
    </row>
    <row r="28" spans="2:15" s="5" customFormat="1" ht="25.8" customHeight="1" x14ac:dyDescent="0.3">
      <c r="B28" s="4">
        <f t="shared" si="11"/>
        <v>24</v>
      </c>
      <c r="C28" s="8" t="s">
        <v>10</v>
      </c>
      <c r="D28" s="9" t="s">
        <v>66</v>
      </c>
      <c r="E28" s="10" t="s">
        <v>65</v>
      </c>
      <c r="F28" s="8" t="s">
        <v>31</v>
      </c>
      <c r="G28" s="8" t="s">
        <v>7</v>
      </c>
      <c r="H28" s="9">
        <v>1</v>
      </c>
      <c r="I28" s="4">
        <f t="shared" si="4"/>
        <v>-1</v>
      </c>
      <c r="J28" s="4">
        <f t="shared" si="5"/>
        <v>0</v>
      </c>
      <c r="K28" s="4">
        <f t="shared" si="6"/>
        <v>1</v>
      </c>
      <c r="L28" s="4">
        <f t="shared" si="7"/>
        <v>0</v>
      </c>
      <c r="M28" s="4">
        <f t="shared" si="8"/>
        <v>1</v>
      </c>
      <c r="N28" s="4">
        <f t="shared" si="9"/>
        <v>0</v>
      </c>
      <c r="O28" s="4">
        <f t="shared" si="10"/>
        <v>1</v>
      </c>
    </row>
    <row r="29" spans="2:15" s="5" customFormat="1" ht="25.8" customHeight="1" x14ac:dyDescent="0.3">
      <c r="B29" s="4">
        <f t="shared" si="11"/>
        <v>25</v>
      </c>
      <c r="C29" s="8" t="s">
        <v>11</v>
      </c>
      <c r="D29" s="9" t="s">
        <v>68</v>
      </c>
      <c r="E29" s="10" t="s">
        <v>67</v>
      </c>
      <c r="F29" s="8" t="s">
        <v>31</v>
      </c>
      <c r="G29" s="8" t="s">
        <v>6</v>
      </c>
      <c r="H29" s="9"/>
      <c r="I29" s="4">
        <f t="shared" si="4"/>
        <v>0</v>
      </c>
      <c r="J29" s="4">
        <f t="shared" si="5"/>
        <v>1</v>
      </c>
      <c r="K29" s="4">
        <f t="shared" si="6"/>
        <v>0</v>
      </c>
      <c r="L29" s="4">
        <f t="shared" si="7"/>
        <v>0</v>
      </c>
      <c r="M29" s="4">
        <f t="shared" si="8"/>
        <v>0</v>
      </c>
      <c r="N29" s="4">
        <f t="shared" si="9"/>
        <v>1</v>
      </c>
      <c r="O29" s="4">
        <f t="shared" si="10"/>
        <v>0</v>
      </c>
    </row>
    <row r="30" spans="2:15" s="5" customFormat="1" ht="25.8" customHeight="1" x14ac:dyDescent="0.3">
      <c r="B30" s="4">
        <f t="shared" si="11"/>
        <v>26</v>
      </c>
      <c r="C30" s="8" t="s">
        <v>11</v>
      </c>
      <c r="D30" s="9" t="s">
        <v>69</v>
      </c>
      <c r="E30" s="10" t="s">
        <v>176</v>
      </c>
      <c r="F30" s="8" t="s">
        <v>31</v>
      </c>
      <c r="G30" s="8" t="s">
        <v>7</v>
      </c>
      <c r="H30" s="9"/>
      <c r="I30" s="4">
        <f t="shared" si="4"/>
        <v>0</v>
      </c>
      <c r="J30" s="4">
        <f t="shared" si="5"/>
        <v>0</v>
      </c>
      <c r="K30" s="4">
        <f t="shared" si="6"/>
        <v>1</v>
      </c>
      <c r="L30" s="4">
        <f t="shared" si="7"/>
        <v>0</v>
      </c>
      <c r="M30" s="4">
        <f t="shared" si="8"/>
        <v>0</v>
      </c>
      <c r="N30" s="4">
        <f t="shared" si="9"/>
        <v>1</v>
      </c>
      <c r="O30" s="4">
        <f t="shared" si="10"/>
        <v>0</v>
      </c>
    </row>
    <row r="31" spans="2:15" s="5" customFormat="1" ht="25.8" customHeight="1" x14ac:dyDescent="0.3">
      <c r="B31" s="4">
        <f t="shared" si="11"/>
        <v>27</v>
      </c>
      <c r="C31" s="8" t="s">
        <v>11</v>
      </c>
      <c r="D31" s="9" t="s">
        <v>70</v>
      </c>
      <c r="E31" s="10" t="s">
        <v>197</v>
      </c>
      <c r="F31" s="8" t="s">
        <v>31</v>
      </c>
      <c r="G31" s="8" t="s">
        <v>7</v>
      </c>
      <c r="H31" s="9"/>
      <c r="I31" s="4">
        <f t="shared" si="4"/>
        <v>0</v>
      </c>
      <c r="J31" s="4">
        <f t="shared" si="5"/>
        <v>0</v>
      </c>
      <c r="K31" s="4">
        <f t="shared" si="6"/>
        <v>1</v>
      </c>
      <c r="L31" s="4">
        <f t="shared" si="7"/>
        <v>0</v>
      </c>
      <c r="M31" s="4">
        <f t="shared" si="8"/>
        <v>0</v>
      </c>
      <c r="N31" s="4">
        <f t="shared" si="9"/>
        <v>1</v>
      </c>
      <c r="O31" s="4">
        <f t="shared" si="10"/>
        <v>0</v>
      </c>
    </row>
    <row r="32" spans="2:15" s="5" customFormat="1" ht="25.8" customHeight="1" x14ac:dyDescent="0.3">
      <c r="B32" s="4">
        <f t="shared" si="11"/>
        <v>28</v>
      </c>
      <c r="C32" s="8" t="s">
        <v>11</v>
      </c>
      <c r="D32" s="9" t="s">
        <v>72</v>
      </c>
      <c r="E32" s="10" t="s">
        <v>71</v>
      </c>
      <c r="F32" s="8" t="s">
        <v>31</v>
      </c>
      <c r="G32" s="8" t="s">
        <v>6</v>
      </c>
      <c r="H32" s="9"/>
      <c r="I32" s="4">
        <f t="shared" si="4"/>
        <v>0</v>
      </c>
      <c r="J32" s="4">
        <f t="shared" si="5"/>
        <v>1</v>
      </c>
      <c r="K32" s="4">
        <f t="shared" si="6"/>
        <v>0</v>
      </c>
      <c r="L32" s="4">
        <f t="shared" si="7"/>
        <v>0</v>
      </c>
      <c r="M32" s="4">
        <f t="shared" si="8"/>
        <v>0</v>
      </c>
      <c r="N32" s="4">
        <f t="shared" si="9"/>
        <v>1</v>
      </c>
      <c r="O32" s="4">
        <f t="shared" si="10"/>
        <v>0</v>
      </c>
    </row>
    <row r="33" spans="2:15" s="5" customFormat="1" ht="25.8" customHeight="1" x14ac:dyDescent="0.3">
      <c r="B33" s="4">
        <f t="shared" si="11"/>
        <v>29</v>
      </c>
      <c r="C33" s="8" t="s">
        <v>11</v>
      </c>
      <c r="D33" s="9" t="s">
        <v>73</v>
      </c>
      <c r="E33" s="10" t="s">
        <v>123</v>
      </c>
      <c r="F33" s="8" t="s">
        <v>31</v>
      </c>
      <c r="G33" s="8" t="s">
        <v>6</v>
      </c>
      <c r="H33" s="9">
        <v>1</v>
      </c>
      <c r="I33" s="4">
        <f t="shared" si="4"/>
        <v>-1</v>
      </c>
      <c r="J33" s="4">
        <f t="shared" si="5"/>
        <v>1</v>
      </c>
      <c r="K33" s="4">
        <f t="shared" si="6"/>
        <v>0</v>
      </c>
      <c r="L33" s="4">
        <f t="shared" si="7"/>
        <v>0</v>
      </c>
      <c r="M33" s="4">
        <f t="shared" si="8"/>
        <v>0</v>
      </c>
      <c r="N33" s="4">
        <f t="shared" si="9"/>
        <v>1</v>
      </c>
      <c r="O33" s="4">
        <f t="shared" si="10"/>
        <v>1</v>
      </c>
    </row>
    <row r="34" spans="2:15" s="5" customFormat="1" ht="25.8" customHeight="1" x14ac:dyDescent="0.3">
      <c r="B34" s="4">
        <f t="shared" si="11"/>
        <v>30</v>
      </c>
      <c r="C34" s="8" t="s">
        <v>11</v>
      </c>
      <c r="D34" s="9" t="s">
        <v>75</v>
      </c>
      <c r="E34" s="10" t="s">
        <v>74</v>
      </c>
      <c r="F34" s="8" t="s">
        <v>31</v>
      </c>
      <c r="G34" s="8" t="s">
        <v>5</v>
      </c>
      <c r="H34" s="8">
        <v>2</v>
      </c>
      <c r="I34" s="4">
        <f t="shared" si="4"/>
        <v>0</v>
      </c>
      <c r="J34" s="4">
        <f t="shared" si="5"/>
        <v>0</v>
      </c>
      <c r="K34" s="4">
        <f t="shared" si="6"/>
        <v>0</v>
      </c>
      <c r="L34" s="4">
        <f t="shared" si="7"/>
        <v>0</v>
      </c>
      <c r="M34" s="4">
        <f t="shared" si="8"/>
        <v>0</v>
      </c>
      <c r="N34" s="4">
        <f t="shared" si="9"/>
        <v>1</v>
      </c>
      <c r="O34" s="4">
        <f t="shared" si="10"/>
        <v>1</v>
      </c>
    </row>
    <row r="35" spans="2:15" s="5" customFormat="1" x14ac:dyDescent="0.3">
      <c r="B35" s="4">
        <f t="shared" si="11"/>
        <v>31</v>
      </c>
      <c r="C35" s="8" t="s">
        <v>11</v>
      </c>
      <c r="D35" s="9" t="s">
        <v>76</v>
      </c>
      <c r="E35" s="10" t="s">
        <v>77</v>
      </c>
      <c r="F35" s="8" t="s">
        <v>31</v>
      </c>
      <c r="G35" s="8" t="s">
        <v>5</v>
      </c>
      <c r="H35" s="8"/>
      <c r="I35" s="4">
        <f t="shared" si="4"/>
        <v>1</v>
      </c>
      <c r="J35" s="4">
        <f t="shared" si="5"/>
        <v>0</v>
      </c>
      <c r="K35" s="4">
        <f t="shared" si="6"/>
        <v>0</v>
      </c>
      <c r="L35" s="4">
        <f t="shared" si="7"/>
        <v>0</v>
      </c>
      <c r="M35" s="4">
        <f t="shared" si="8"/>
        <v>0</v>
      </c>
      <c r="N35" s="4">
        <f t="shared" si="9"/>
        <v>1</v>
      </c>
      <c r="O35" s="4">
        <f t="shared" si="10"/>
        <v>0</v>
      </c>
    </row>
    <row r="36" spans="2:15" s="5" customFormat="1" ht="25.8" customHeight="1" x14ac:dyDescent="0.3">
      <c r="B36" s="4">
        <f t="shared" si="11"/>
        <v>32</v>
      </c>
      <c r="C36" s="8" t="s">
        <v>10</v>
      </c>
      <c r="D36" s="9" t="s">
        <v>79</v>
      </c>
      <c r="E36" s="10" t="s">
        <v>78</v>
      </c>
      <c r="F36" s="8" t="s">
        <v>31</v>
      </c>
      <c r="G36" s="8" t="s">
        <v>8</v>
      </c>
      <c r="H36" s="9"/>
      <c r="I36" s="4">
        <f t="shared" si="4"/>
        <v>0</v>
      </c>
      <c r="J36" s="4">
        <f t="shared" si="5"/>
        <v>0</v>
      </c>
      <c r="K36" s="4">
        <f t="shared" si="6"/>
        <v>0</v>
      </c>
      <c r="L36" s="4">
        <f t="shared" si="7"/>
        <v>1</v>
      </c>
      <c r="M36" s="4">
        <f t="shared" si="8"/>
        <v>1</v>
      </c>
      <c r="N36" s="4">
        <f t="shared" si="9"/>
        <v>0</v>
      </c>
      <c r="O36" s="4">
        <f t="shared" si="10"/>
        <v>0</v>
      </c>
    </row>
    <row r="37" spans="2:15" s="5" customFormat="1" ht="25.8" customHeight="1" x14ac:dyDescent="0.3">
      <c r="B37" s="4">
        <f t="shared" si="11"/>
        <v>33</v>
      </c>
      <c r="C37" s="8" t="s">
        <v>10</v>
      </c>
      <c r="D37" s="9" t="s">
        <v>81</v>
      </c>
      <c r="E37" s="10" t="s">
        <v>80</v>
      </c>
      <c r="F37" s="8" t="s">
        <v>31</v>
      </c>
      <c r="G37" s="8" t="s">
        <v>8</v>
      </c>
      <c r="H37" s="9">
        <v>1</v>
      </c>
      <c r="I37" s="4">
        <f t="shared" si="4"/>
        <v>-1</v>
      </c>
      <c r="J37" s="4">
        <f t="shared" si="5"/>
        <v>0</v>
      </c>
      <c r="K37" s="4">
        <f t="shared" si="6"/>
        <v>0</v>
      </c>
      <c r="L37" s="4">
        <f t="shared" si="7"/>
        <v>1</v>
      </c>
      <c r="M37" s="4">
        <f t="shared" si="8"/>
        <v>1</v>
      </c>
      <c r="N37" s="4">
        <f t="shared" si="9"/>
        <v>0</v>
      </c>
      <c r="O37" s="4">
        <f t="shared" si="10"/>
        <v>1</v>
      </c>
    </row>
    <row r="38" spans="2:15" s="5" customFormat="1" ht="28.8" x14ac:dyDescent="0.3">
      <c r="B38" s="4">
        <f t="shared" si="11"/>
        <v>34</v>
      </c>
      <c r="C38" s="8" t="s">
        <v>11</v>
      </c>
      <c r="D38" s="9" t="s">
        <v>83</v>
      </c>
      <c r="E38" s="10" t="s">
        <v>82</v>
      </c>
      <c r="F38" s="8" t="s">
        <v>31</v>
      </c>
      <c r="G38" s="8" t="s">
        <v>7</v>
      </c>
      <c r="H38" s="9"/>
      <c r="I38" s="4">
        <f t="shared" si="4"/>
        <v>0</v>
      </c>
      <c r="J38" s="4">
        <f t="shared" si="5"/>
        <v>0</v>
      </c>
      <c r="K38" s="4">
        <f t="shared" si="6"/>
        <v>1</v>
      </c>
      <c r="L38" s="4">
        <f t="shared" si="7"/>
        <v>0</v>
      </c>
      <c r="M38" s="4">
        <f t="shared" si="8"/>
        <v>0</v>
      </c>
      <c r="N38" s="4">
        <f t="shared" si="9"/>
        <v>1</v>
      </c>
      <c r="O38" s="4">
        <f t="shared" si="10"/>
        <v>0</v>
      </c>
    </row>
    <row r="39" spans="2:15" s="5" customFormat="1" x14ac:dyDescent="0.3">
      <c r="B39" s="4">
        <f t="shared" si="11"/>
        <v>35</v>
      </c>
      <c r="C39" s="8" t="s">
        <v>10</v>
      </c>
      <c r="D39" s="9" t="s">
        <v>84</v>
      </c>
      <c r="E39" s="10" t="s">
        <v>186</v>
      </c>
      <c r="F39" s="8" t="s">
        <v>31</v>
      </c>
      <c r="G39" s="8" t="s">
        <v>7</v>
      </c>
      <c r="H39" s="9"/>
      <c r="I39" s="4">
        <f t="shared" si="4"/>
        <v>0</v>
      </c>
      <c r="J39" s="4">
        <f t="shared" si="5"/>
        <v>0</v>
      </c>
      <c r="K39" s="4">
        <f t="shared" si="6"/>
        <v>1</v>
      </c>
      <c r="L39" s="4">
        <f t="shared" si="7"/>
        <v>0</v>
      </c>
      <c r="M39" s="4">
        <f t="shared" si="8"/>
        <v>1</v>
      </c>
      <c r="N39" s="4">
        <f t="shared" si="9"/>
        <v>0</v>
      </c>
      <c r="O39" s="4">
        <f t="shared" si="10"/>
        <v>0</v>
      </c>
    </row>
    <row r="40" spans="2:15" s="5" customFormat="1" ht="28.8" x14ac:dyDescent="0.3">
      <c r="B40" s="4">
        <f t="shared" si="11"/>
        <v>36</v>
      </c>
      <c r="C40" s="8" t="s">
        <v>11</v>
      </c>
      <c r="D40" s="9" t="s">
        <v>85</v>
      </c>
      <c r="E40" s="10" t="s">
        <v>124</v>
      </c>
      <c r="F40" s="8" t="s">
        <v>31</v>
      </c>
      <c r="G40" s="8" t="s">
        <v>7</v>
      </c>
      <c r="H40" s="9">
        <v>2</v>
      </c>
      <c r="I40" s="4">
        <f t="shared" si="4"/>
        <v>-1</v>
      </c>
      <c r="J40" s="4">
        <f t="shared" si="5"/>
        <v>0</v>
      </c>
      <c r="K40" s="4">
        <f t="shared" si="6"/>
        <v>1</v>
      </c>
      <c r="L40" s="4">
        <f t="shared" si="7"/>
        <v>0</v>
      </c>
      <c r="M40" s="4">
        <f t="shared" si="8"/>
        <v>0</v>
      </c>
      <c r="N40" s="4">
        <f t="shared" si="9"/>
        <v>1</v>
      </c>
      <c r="O40" s="4">
        <f t="shared" si="10"/>
        <v>1</v>
      </c>
    </row>
    <row r="41" spans="2:15" s="5" customFormat="1" ht="25.8" customHeight="1" x14ac:dyDescent="0.3">
      <c r="B41" s="4">
        <f t="shared" si="11"/>
        <v>37</v>
      </c>
      <c r="C41" s="8" t="s">
        <v>11</v>
      </c>
      <c r="D41" s="9" t="s">
        <v>87</v>
      </c>
      <c r="E41" s="10" t="s">
        <v>86</v>
      </c>
      <c r="F41" s="8" t="s">
        <v>31</v>
      </c>
      <c r="G41" s="8" t="s">
        <v>8</v>
      </c>
      <c r="H41" s="9"/>
      <c r="I41" s="4">
        <f t="shared" si="4"/>
        <v>0</v>
      </c>
      <c r="J41" s="4">
        <f t="shared" si="5"/>
        <v>0</v>
      </c>
      <c r="K41" s="4">
        <f t="shared" si="6"/>
        <v>0</v>
      </c>
      <c r="L41" s="4">
        <f t="shared" si="7"/>
        <v>1</v>
      </c>
      <c r="M41" s="4">
        <f t="shared" si="8"/>
        <v>0</v>
      </c>
      <c r="N41" s="4">
        <f t="shared" si="9"/>
        <v>1</v>
      </c>
      <c r="O41" s="4">
        <f t="shared" si="10"/>
        <v>0</v>
      </c>
    </row>
    <row r="42" spans="2:15" s="5" customFormat="1" ht="25.8" customHeight="1" x14ac:dyDescent="0.3">
      <c r="B42" s="4">
        <f t="shared" si="11"/>
        <v>38</v>
      </c>
      <c r="C42" s="8" t="s">
        <v>10</v>
      </c>
      <c r="D42" s="9" t="s">
        <v>89</v>
      </c>
      <c r="E42" s="10" t="s">
        <v>88</v>
      </c>
      <c r="F42" s="8" t="s">
        <v>31</v>
      </c>
      <c r="G42" s="8" t="s">
        <v>8</v>
      </c>
      <c r="H42" s="9"/>
      <c r="I42" s="4">
        <f t="shared" si="4"/>
        <v>0</v>
      </c>
      <c r="J42" s="4">
        <f t="shared" si="5"/>
        <v>0</v>
      </c>
      <c r="K42" s="4">
        <f t="shared" si="6"/>
        <v>0</v>
      </c>
      <c r="L42" s="4">
        <f t="shared" si="7"/>
        <v>1</v>
      </c>
      <c r="M42" s="4">
        <f t="shared" si="8"/>
        <v>1</v>
      </c>
      <c r="N42" s="4">
        <f t="shared" si="9"/>
        <v>0</v>
      </c>
      <c r="O42" s="4">
        <f t="shared" si="10"/>
        <v>0</v>
      </c>
    </row>
    <row r="43" spans="2:15" s="5" customFormat="1" ht="25.8" customHeight="1" x14ac:dyDescent="0.3">
      <c r="B43" s="4">
        <f t="shared" si="11"/>
        <v>39</v>
      </c>
      <c r="C43" s="8" t="s">
        <v>11</v>
      </c>
      <c r="D43" s="9" t="s">
        <v>91</v>
      </c>
      <c r="E43" s="10" t="s">
        <v>90</v>
      </c>
      <c r="F43" s="8" t="s">
        <v>31</v>
      </c>
      <c r="G43" s="8" t="s">
        <v>6</v>
      </c>
      <c r="H43" s="9">
        <v>2</v>
      </c>
      <c r="I43" s="4">
        <f t="shared" si="4"/>
        <v>-1</v>
      </c>
      <c r="J43" s="4">
        <f t="shared" si="5"/>
        <v>1</v>
      </c>
      <c r="K43" s="4">
        <f t="shared" si="6"/>
        <v>0</v>
      </c>
      <c r="L43" s="4">
        <f t="shared" si="7"/>
        <v>0</v>
      </c>
      <c r="M43" s="4">
        <f t="shared" si="8"/>
        <v>0</v>
      </c>
      <c r="N43" s="4">
        <f t="shared" si="9"/>
        <v>1</v>
      </c>
      <c r="O43" s="4">
        <f t="shared" si="10"/>
        <v>1</v>
      </c>
    </row>
    <row r="44" spans="2:15" s="5" customFormat="1" ht="28.8" x14ac:dyDescent="0.3">
      <c r="B44" s="4">
        <f t="shared" si="11"/>
        <v>40</v>
      </c>
      <c r="C44" s="8" t="s">
        <v>10</v>
      </c>
      <c r="D44" s="9" t="s">
        <v>93</v>
      </c>
      <c r="E44" s="10" t="s">
        <v>92</v>
      </c>
      <c r="F44" s="8" t="s">
        <v>31</v>
      </c>
      <c r="G44" s="8" t="s">
        <v>8</v>
      </c>
      <c r="H44" s="9"/>
      <c r="I44" s="4">
        <f t="shared" si="4"/>
        <v>0</v>
      </c>
      <c r="J44" s="4">
        <f t="shared" si="5"/>
        <v>0</v>
      </c>
      <c r="K44" s="4">
        <f t="shared" si="6"/>
        <v>0</v>
      </c>
      <c r="L44" s="4">
        <f t="shared" si="7"/>
        <v>1</v>
      </c>
      <c r="M44" s="4">
        <f t="shared" si="8"/>
        <v>1</v>
      </c>
      <c r="N44" s="4">
        <f t="shared" si="9"/>
        <v>0</v>
      </c>
      <c r="O44" s="4">
        <f t="shared" si="10"/>
        <v>0</v>
      </c>
    </row>
    <row r="45" spans="2:15" s="5" customFormat="1" ht="25.8" customHeight="1" x14ac:dyDescent="0.3">
      <c r="B45" s="4">
        <f t="shared" si="11"/>
        <v>41</v>
      </c>
      <c r="C45" s="8" t="s">
        <v>11</v>
      </c>
      <c r="D45" s="9" t="s">
        <v>96</v>
      </c>
      <c r="E45" s="10" t="s">
        <v>94</v>
      </c>
      <c r="F45" s="8" t="s">
        <v>31</v>
      </c>
      <c r="G45" s="8" t="s">
        <v>7</v>
      </c>
      <c r="H45" s="9"/>
      <c r="I45" s="4">
        <f t="shared" si="4"/>
        <v>0</v>
      </c>
      <c r="J45" s="4">
        <f t="shared" si="5"/>
        <v>0</v>
      </c>
      <c r="K45" s="4">
        <f t="shared" si="6"/>
        <v>1</v>
      </c>
      <c r="L45" s="4">
        <f t="shared" si="7"/>
        <v>0</v>
      </c>
      <c r="M45" s="4">
        <f t="shared" si="8"/>
        <v>0</v>
      </c>
      <c r="N45" s="4">
        <f t="shared" si="9"/>
        <v>1</v>
      </c>
      <c r="O45" s="4">
        <f t="shared" si="10"/>
        <v>0</v>
      </c>
    </row>
    <row r="46" spans="2:15" s="5" customFormat="1" ht="28.8" x14ac:dyDescent="0.3">
      <c r="B46" s="4">
        <f t="shared" si="11"/>
        <v>42</v>
      </c>
      <c r="C46" s="8" t="s">
        <v>11</v>
      </c>
      <c r="D46" s="9" t="s">
        <v>95</v>
      </c>
      <c r="E46" s="10" t="s">
        <v>142</v>
      </c>
      <c r="F46" s="8" t="s">
        <v>31</v>
      </c>
      <c r="G46" s="8" t="s">
        <v>7</v>
      </c>
      <c r="H46" s="9">
        <v>4</v>
      </c>
      <c r="I46" s="4">
        <f t="shared" si="4"/>
        <v>-1</v>
      </c>
      <c r="J46" s="4">
        <f t="shared" si="5"/>
        <v>0</v>
      </c>
      <c r="K46" s="4">
        <f t="shared" si="6"/>
        <v>1</v>
      </c>
      <c r="L46" s="4">
        <f t="shared" si="7"/>
        <v>0</v>
      </c>
      <c r="M46" s="4">
        <f t="shared" si="8"/>
        <v>0</v>
      </c>
      <c r="N46" s="4">
        <f t="shared" si="9"/>
        <v>1</v>
      </c>
      <c r="O46" s="4">
        <f t="shared" si="10"/>
        <v>1</v>
      </c>
    </row>
    <row r="47" spans="2:15" s="5" customFormat="1" ht="72" x14ac:dyDescent="0.3">
      <c r="B47" s="4">
        <f t="shared" si="11"/>
        <v>43</v>
      </c>
      <c r="C47" s="8" t="s">
        <v>10</v>
      </c>
      <c r="D47" s="9" t="s">
        <v>98</v>
      </c>
      <c r="E47" s="10" t="s">
        <v>97</v>
      </c>
      <c r="F47" s="8" t="s">
        <v>31</v>
      </c>
      <c r="G47" s="8" t="s">
        <v>5</v>
      </c>
      <c r="H47" s="8"/>
      <c r="I47" s="4">
        <f t="shared" si="4"/>
        <v>1</v>
      </c>
      <c r="J47" s="4">
        <f t="shared" si="5"/>
        <v>0</v>
      </c>
      <c r="K47" s="4">
        <f t="shared" si="6"/>
        <v>0</v>
      </c>
      <c r="L47" s="4">
        <f t="shared" si="7"/>
        <v>0</v>
      </c>
      <c r="M47" s="4">
        <f t="shared" si="8"/>
        <v>1</v>
      </c>
      <c r="N47" s="4">
        <f t="shared" si="9"/>
        <v>0</v>
      </c>
      <c r="O47" s="4">
        <f t="shared" si="10"/>
        <v>0</v>
      </c>
    </row>
    <row r="48" spans="2:15" s="5" customFormat="1" ht="28.8" x14ac:dyDescent="0.3">
      <c r="B48" s="4">
        <f t="shared" si="11"/>
        <v>44</v>
      </c>
      <c r="C48" s="8" t="s">
        <v>10</v>
      </c>
      <c r="D48" s="9" t="s">
        <v>100</v>
      </c>
      <c r="E48" s="10" t="s">
        <v>99</v>
      </c>
      <c r="F48" s="8" t="s">
        <v>31</v>
      </c>
      <c r="G48" s="8" t="s">
        <v>8</v>
      </c>
      <c r="H48" s="9"/>
      <c r="I48" s="4">
        <f t="shared" si="4"/>
        <v>0</v>
      </c>
      <c r="J48" s="4">
        <f t="shared" si="5"/>
        <v>0</v>
      </c>
      <c r="K48" s="4">
        <f t="shared" si="6"/>
        <v>0</v>
      </c>
      <c r="L48" s="4">
        <f t="shared" si="7"/>
        <v>1</v>
      </c>
      <c r="M48" s="4">
        <f t="shared" si="8"/>
        <v>1</v>
      </c>
      <c r="N48" s="4">
        <f t="shared" si="9"/>
        <v>0</v>
      </c>
      <c r="O48" s="4">
        <f t="shared" si="10"/>
        <v>0</v>
      </c>
    </row>
    <row r="49" spans="2:15" s="5" customFormat="1" ht="25.8" customHeight="1" x14ac:dyDescent="0.3">
      <c r="B49" s="4">
        <f t="shared" si="11"/>
        <v>45</v>
      </c>
      <c r="C49" s="8" t="s">
        <v>10</v>
      </c>
      <c r="D49" s="9" t="s">
        <v>102</v>
      </c>
      <c r="E49" s="10" t="s">
        <v>101</v>
      </c>
      <c r="F49" s="8" t="s">
        <v>31</v>
      </c>
      <c r="G49" s="8" t="s">
        <v>8</v>
      </c>
      <c r="H49" s="9"/>
      <c r="I49" s="4">
        <f t="shared" si="4"/>
        <v>0</v>
      </c>
      <c r="J49" s="4">
        <f t="shared" si="5"/>
        <v>0</v>
      </c>
      <c r="K49" s="4">
        <f t="shared" si="6"/>
        <v>0</v>
      </c>
      <c r="L49" s="4">
        <f t="shared" si="7"/>
        <v>1</v>
      </c>
      <c r="M49" s="4">
        <f t="shared" si="8"/>
        <v>1</v>
      </c>
      <c r="N49" s="4">
        <f t="shared" si="9"/>
        <v>0</v>
      </c>
      <c r="O49" s="4">
        <f t="shared" si="10"/>
        <v>0</v>
      </c>
    </row>
    <row r="50" spans="2:15" s="5" customFormat="1" ht="25.8" customHeight="1" x14ac:dyDescent="0.3">
      <c r="B50" s="4">
        <f t="shared" si="11"/>
        <v>46</v>
      </c>
      <c r="C50" s="8" t="s">
        <v>11</v>
      </c>
      <c r="D50" s="9" t="s">
        <v>104</v>
      </c>
      <c r="E50" s="10" t="s">
        <v>103</v>
      </c>
      <c r="F50" s="8" t="s">
        <v>31</v>
      </c>
      <c r="G50" s="8" t="s">
        <v>8</v>
      </c>
      <c r="H50" s="9"/>
      <c r="I50" s="4">
        <f t="shared" si="4"/>
        <v>0</v>
      </c>
      <c r="J50" s="4">
        <f t="shared" si="5"/>
        <v>0</v>
      </c>
      <c r="K50" s="4">
        <f t="shared" si="6"/>
        <v>0</v>
      </c>
      <c r="L50" s="4">
        <f t="shared" si="7"/>
        <v>1</v>
      </c>
      <c r="M50" s="4">
        <f t="shared" si="8"/>
        <v>0</v>
      </c>
      <c r="N50" s="4">
        <f t="shared" si="9"/>
        <v>1</v>
      </c>
      <c r="O50" s="4">
        <f t="shared" si="10"/>
        <v>0</v>
      </c>
    </row>
    <row r="51" spans="2:15" s="5" customFormat="1" ht="25.8" customHeight="1" x14ac:dyDescent="0.3">
      <c r="B51" s="4">
        <f t="shared" si="11"/>
        <v>47</v>
      </c>
      <c r="C51" s="8" t="s">
        <v>10</v>
      </c>
      <c r="D51" s="9" t="s">
        <v>106</v>
      </c>
      <c r="E51" s="10" t="s">
        <v>105</v>
      </c>
      <c r="F51" s="8" t="s">
        <v>31</v>
      </c>
      <c r="G51" s="8" t="s">
        <v>7</v>
      </c>
      <c r="H51" s="9"/>
      <c r="I51" s="4">
        <f t="shared" si="4"/>
        <v>0</v>
      </c>
      <c r="J51" s="4">
        <f t="shared" si="5"/>
        <v>0</v>
      </c>
      <c r="K51" s="4">
        <f t="shared" si="6"/>
        <v>1</v>
      </c>
      <c r="L51" s="4">
        <f t="shared" si="7"/>
        <v>0</v>
      </c>
      <c r="M51" s="4">
        <f t="shared" si="8"/>
        <v>1</v>
      </c>
      <c r="N51" s="4">
        <f t="shared" si="9"/>
        <v>0</v>
      </c>
      <c r="O51" s="4">
        <f t="shared" si="10"/>
        <v>0</v>
      </c>
    </row>
    <row r="52" spans="2:15" s="5" customFormat="1" x14ac:dyDescent="0.3">
      <c r="B52" s="4">
        <f t="shared" si="11"/>
        <v>48</v>
      </c>
      <c r="C52" s="8" t="s">
        <v>11</v>
      </c>
      <c r="D52" s="9" t="s">
        <v>108</v>
      </c>
      <c r="E52" s="10" t="s">
        <v>107</v>
      </c>
      <c r="F52" s="8" t="s">
        <v>31</v>
      </c>
      <c r="G52" s="8" t="s">
        <v>5</v>
      </c>
      <c r="H52" s="8">
        <v>1</v>
      </c>
      <c r="I52" s="4">
        <f t="shared" si="4"/>
        <v>0</v>
      </c>
      <c r="J52" s="4">
        <f t="shared" si="5"/>
        <v>0</v>
      </c>
      <c r="K52" s="4">
        <f t="shared" si="6"/>
        <v>0</v>
      </c>
      <c r="L52" s="4">
        <f t="shared" si="7"/>
        <v>0</v>
      </c>
      <c r="M52" s="4">
        <f t="shared" si="8"/>
        <v>0</v>
      </c>
      <c r="N52" s="4">
        <f t="shared" si="9"/>
        <v>1</v>
      </c>
      <c r="O52" s="4">
        <f t="shared" si="10"/>
        <v>1</v>
      </c>
    </row>
    <row r="53" spans="2:15" s="5" customFormat="1" ht="25.8" customHeight="1" x14ac:dyDescent="0.3">
      <c r="B53" s="4">
        <f t="shared" si="11"/>
        <v>49</v>
      </c>
      <c r="C53" s="8" t="s">
        <v>10</v>
      </c>
      <c r="D53" s="9" t="s">
        <v>109</v>
      </c>
      <c r="E53" s="10" t="s">
        <v>177</v>
      </c>
      <c r="F53" s="8" t="s">
        <v>31</v>
      </c>
      <c r="G53" s="8" t="s">
        <v>7</v>
      </c>
      <c r="H53" s="9"/>
      <c r="I53" s="4">
        <f t="shared" si="4"/>
        <v>0</v>
      </c>
      <c r="J53" s="4">
        <f t="shared" si="5"/>
        <v>0</v>
      </c>
      <c r="K53" s="4">
        <f t="shared" si="6"/>
        <v>1</v>
      </c>
      <c r="L53" s="4">
        <f t="shared" si="7"/>
        <v>0</v>
      </c>
      <c r="M53" s="4">
        <f t="shared" si="8"/>
        <v>1</v>
      </c>
      <c r="N53" s="4">
        <f t="shared" si="9"/>
        <v>0</v>
      </c>
      <c r="O53" s="4">
        <f t="shared" si="10"/>
        <v>0</v>
      </c>
    </row>
    <row r="54" spans="2:15" s="5" customFormat="1" ht="25.8" customHeight="1" x14ac:dyDescent="0.3">
      <c r="B54" s="4">
        <f t="shared" si="11"/>
        <v>50</v>
      </c>
      <c r="C54" s="8" t="s">
        <v>10</v>
      </c>
      <c r="D54" s="9" t="s">
        <v>113</v>
      </c>
      <c r="E54" s="10" t="s">
        <v>112</v>
      </c>
      <c r="F54" s="8" t="s">
        <v>31</v>
      </c>
      <c r="G54" s="8" t="s">
        <v>6</v>
      </c>
      <c r="H54" s="9">
        <v>1</v>
      </c>
      <c r="I54" s="4">
        <f t="shared" si="4"/>
        <v>-1</v>
      </c>
      <c r="J54" s="4">
        <f t="shared" si="5"/>
        <v>1</v>
      </c>
      <c r="K54" s="4">
        <f t="shared" si="6"/>
        <v>0</v>
      </c>
      <c r="L54" s="4">
        <f t="shared" si="7"/>
        <v>0</v>
      </c>
      <c r="M54" s="4">
        <f t="shared" si="8"/>
        <v>1</v>
      </c>
      <c r="N54" s="4">
        <f t="shared" si="9"/>
        <v>0</v>
      </c>
      <c r="O54" s="4">
        <f t="shared" si="10"/>
        <v>1</v>
      </c>
    </row>
    <row r="55" spans="2:15" s="5" customFormat="1" ht="25.8" customHeight="1" x14ac:dyDescent="0.3">
      <c r="B55" s="4">
        <f t="shared" si="11"/>
        <v>51</v>
      </c>
      <c r="C55" s="8" t="s">
        <v>10</v>
      </c>
      <c r="D55" s="9" t="s">
        <v>115</v>
      </c>
      <c r="E55" s="10" t="s">
        <v>114</v>
      </c>
      <c r="F55" s="8" t="s">
        <v>31</v>
      </c>
      <c r="G55" s="8" t="s">
        <v>6</v>
      </c>
      <c r="H55" s="9">
        <v>4</v>
      </c>
      <c r="I55" s="4">
        <f t="shared" si="4"/>
        <v>-1</v>
      </c>
      <c r="J55" s="4">
        <f t="shared" si="5"/>
        <v>1</v>
      </c>
      <c r="K55" s="4">
        <f t="shared" si="6"/>
        <v>0</v>
      </c>
      <c r="L55" s="4">
        <f t="shared" si="7"/>
        <v>0</v>
      </c>
      <c r="M55" s="4">
        <f t="shared" si="8"/>
        <v>1</v>
      </c>
      <c r="N55" s="4">
        <f t="shared" si="9"/>
        <v>0</v>
      </c>
      <c r="O55" s="4">
        <f t="shared" si="10"/>
        <v>1</v>
      </c>
    </row>
    <row r="56" spans="2:15" s="5" customFormat="1" ht="25.8" customHeight="1" x14ac:dyDescent="0.3">
      <c r="B56" s="4">
        <f t="shared" si="11"/>
        <v>52</v>
      </c>
      <c r="C56" s="8" t="s">
        <v>10</v>
      </c>
      <c r="D56" s="9" t="s">
        <v>117</v>
      </c>
      <c r="E56" s="10" t="s">
        <v>116</v>
      </c>
      <c r="F56" s="8" t="s">
        <v>31</v>
      </c>
      <c r="G56" s="8" t="s">
        <v>7</v>
      </c>
      <c r="H56" s="9">
        <v>1</v>
      </c>
      <c r="I56" s="4">
        <f t="shared" si="4"/>
        <v>-1</v>
      </c>
      <c r="J56" s="4">
        <f t="shared" si="5"/>
        <v>0</v>
      </c>
      <c r="K56" s="4">
        <f t="shared" si="6"/>
        <v>1</v>
      </c>
      <c r="L56" s="4">
        <f t="shared" si="7"/>
        <v>0</v>
      </c>
      <c r="M56" s="4">
        <f t="shared" si="8"/>
        <v>1</v>
      </c>
      <c r="N56" s="4">
        <f t="shared" si="9"/>
        <v>0</v>
      </c>
      <c r="O56" s="4">
        <f t="shared" si="10"/>
        <v>1</v>
      </c>
    </row>
    <row r="57" spans="2:15" s="5" customFormat="1" ht="25.8" customHeight="1" x14ac:dyDescent="0.3">
      <c r="B57" s="4">
        <f t="shared" si="11"/>
        <v>53</v>
      </c>
      <c r="C57" s="8" t="s">
        <v>10</v>
      </c>
      <c r="D57" s="9" t="s">
        <v>118</v>
      </c>
      <c r="E57" s="10" t="s">
        <v>136</v>
      </c>
      <c r="F57" s="8" t="s">
        <v>31</v>
      </c>
      <c r="G57" s="8" t="s">
        <v>5</v>
      </c>
      <c r="H57" s="8"/>
      <c r="I57" s="4">
        <f t="shared" si="4"/>
        <v>1</v>
      </c>
      <c r="J57" s="4">
        <f t="shared" si="5"/>
        <v>0</v>
      </c>
      <c r="K57" s="4">
        <f t="shared" si="6"/>
        <v>0</v>
      </c>
      <c r="L57" s="4">
        <f t="shared" si="7"/>
        <v>0</v>
      </c>
      <c r="M57" s="4">
        <f t="shared" si="8"/>
        <v>1</v>
      </c>
      <c r="N57" s="4">
        <f t="shared" si="9"/>
        <v>0</v>
      </c>
      <c r="O57" s="4">
        <f t="shared" si="10"/>
        <v>0</v>
      </c>
    </row>
    <row r="58" spans="2:15" s="5" customFormat="1" ht="25.8" customHeight="1" x14ac:dyDescent="0.3">
      <c r="B58" s="4">
        <f t="shared" si="11"/>
        <v>54</v>
      </c>
      <c r="C58" s="8" t="s">
        <v>11</v>
      </c>
      <c r="D58" s="9"/>
      <c r="E58" s="10" t="s">
        <v>125</v>
      </c>
      <c r="F58" s="8" t="s">
        <v>31</v>
      </c>
      <c r="G58" s="8" t="s">
        <v>6</v>
      </c>
      <c r="H58" s="9">
        <v>1</v>
      </c>
      <c r="I58" s="4">
        <f t="shared" si="4"/>
        <v>-1</v>
      </c>
      <c r="J58" s="4">
        <f t="shared" si="5"/>
        <v>1</v>
      </c>
      <c r="K58" s="4">
        <f t="shared" si="6"/>
        <v>0</v>
      </c>
      <c r="L58" s="4">
        <f t="shared" si="7"/>
        <v>0</v>
      </c>
      <c r="M58" s="4">
        <f t="shared" si="8"/>
        <v>0</v>
      </c>
      <c r="N58" s="4">
        <f t="shared" si="9"/>
        <v>1</v>
      </c>
      <c r="O58" s="4">
        <f t="shared" si="10"/>
        <v>1</v>
      </c>
    </row>
    <row r="59" spans="2:15" s="5" customFormat="1" ht="25.8" customHeight="1" x14ac:dyDescent="0.3">
      <c r="B59" s="4">
        <f t="shared" si="11"/>
        <v>55</v>
      </c>
      <c r="C59" s="8" t="s">
        <v>11</v>
      </c>
      <c r="D59" s="9"/>
      <c r="E59" s="10" t="s">
        <v>126</v>
      </c>
      <c r="F59" s="8" t="s">
        <v>31</v>
      </c>
      <c r="G59" s="8" t="s">
        <v>7</v>
      </c>
      <c r="H59" s="9">
        <v>1</v>
      </c>
      <c r="I59" s="4">
        <f t="shared" si="4"/>
        <v>-1</v>
      </c>
      <c r="J59" s="4">
        <f t="shared" si="5"/>
        <v>0</v>
      </c>
      <c r="K59" s="4">
        <f t="shared" si="6"/>
        <v>1</v>
      </c>
      <c r="L59" s="4">
        <f t="shared" si="7"/>
        <v>0</v>
      </c>
      <c r="M59" s="4">
        <f t="shared" si="8"/>
        <v>0</v>
      </c>
      <c r="N59" s="4">
        <f t="shared" si="9"/>
        <v>1</v>
      </c>
      <c r="O59" s="4">
        <f t="shared" si="10"/>
        <v>1</v>
      </c>
    </row>
    <row r="60" spans="2:15" s="5" customFormat="1" ht="25.8" customHeight="1" x14ac:dyDescent="0.3">
      <c r="B60" s="4">
        <f>IF(E60&gt;0,1+B59,"")</f>
        <v>56</v>
      </c>
      <c r="C60" s="8" t="s">
        <v>11</v>
      </c>
      <c r="D60" s="9"/>
      <c r="E60" s="10" t="s">
        <v>127</v>
      </c>
      <c r="F60" s="8" t="s">
        <v>31</v>
      </c>
      <c r="G60" s="8" t="s">
        <v>7</v>
      </c>
      <c r="H60" s="9">
        <v>1</v>
      </c>
      <c r="I60" s="4">
        <f t="shared" si="4"/>
        <v>-1</v>
      </c>
      <c r="J60" s="4">
        <f t="shared" si="5"/>
        <v>0</v>
      </c>
      <c r="K60" s="4">
        <f t="shared" si="6"/>
        <v>1</v>
      </c>
      <c r="L60" s="4">
        <f t="shared" si="7"/>
        <v>0</v>
      </c>
      <c r="M60" s="4">
        <f t="shared" si="8"/>
        <v>0</v>
      </c>
      <c r="N60" s="4">
        <f t="shared" si="9"/>
        <v>1</v>
      </c>
      <c r="O60" s="4">
        <f t="shared" si="10"/>
        <v>1</v>
      </c>
    </row>
    <row r="61" spans="2:15" s="5" customFormat="1" ht="25.8" customHeight="1" x14ac:dyDescent="0.3">
      <c r="B61" s="4">
        <f>IF(E61&gt;0,1+B60,"")</f>
        <v>57</v>
      </c>
      <c r="C61" s="8" t="s">
        <v>10</v>
      </c>
      <c r="D61" s="9"/>
      <c r="E61" s="10" t="s">
        <v>185</v>
      </c>
      <c r="F61" s="8" t="s">
        <v>31</v>
      </c>
      <c r="G61" s="8" t="s">
        <v>7</v>
      </c>
      <c r="H61" s="9"/>
      <c r="I61" s="4">
        <f t="shared" si="4"/>
        <v>0</v>
      </c>
      <c r="J61" s="4">
        <f t="shared" si="5"/>
        <v>0</v>
      </c>
      <c r="K61" s="4">
        <f t="shared" si="6"/>
        <v>1</v>
      </c>
      <c r="L61" s="4">
        <f t="shared" si="7"/>
        <v>0</v>
      </c>
      <c r="M61" s="4">
        <f t="shared" si="8"/>
        <v>1</v>
      </c>
      <c r="N61" s="4">
        <f t="shared" si="9"/>
        <v>0</v>
      </c>
      <c r="O61" s="4">
        <f t="shared" si="10"/>
        <v>0</v>
      </c>
    </row>
    <row r="62" spans="2:15" s="5" customFormat="1" ht="28.8" x14ac:dyDescent="0.3">
      <c r="B62" s="4">
        <f t="shared" si="11"/>
        <v>58</v>
      </c>
      <c r="C62" s="8" t="s">
        <v>10</v>
      </c>
      <c r="D62" s="9"/>
      <c r="E62" s="10" t="s">
        <v>128</v>
      </c>
      <c r="F62" s="8" t="s">
        <v>31</v>
      </c>
      <c r="G62" s="8" t="s">
        <v>8</v>
      </c>
      <c r="H62" s="9"/>
      <c r="I62" s="4">
        <f t="shared" si="4"/>
        <v>0</v>
      </c>
      <c r="J62" s="4">
        <f t="shared" si="5"/>
        <v>0</v>
      </c>
      <c r="K62" s="4">
        <f t="shared" si="6"/>
        <v>0</v>
      </c>
      <c r="L62" s="4">
        <f t="shared" si="7"/>
        <v>1</v>
      </c>
      <c r="M62" s="4">
        <f t="shared" si="8"/>
        <v>1</v>
      </c>
      <c r="N62" s="4">
        <f t="shared" si="9"/>
        <v>0</v>
      </c>
      <c r="O62" s="4">
        <f t="shared" si="10"/>
        <v>0</v>
      </c>
    </row>
    <row r="63" spans="2:15" s="5" customFormat="1" ht="25.8" customHeight="1" x14ac:dyDescent="0.3">
      <c r="B63" s="4">
        <f t="shared" si="11"/>
        <v>59</v>
      </c>
      <c r="C63" s="8" t="s">
        <v>10</v>
      </c>
      <c r="D63" s="9"/>
      <c r="E63" s="10" t="s">
        <v>129</v>
      </c>
      <c r="F63" s="8" t="s">
        <v>31</v>
      </c>
      <c r="G63" s="8" t="s">
        <v>8</v>
      </c>
      <c r="H63" s="9">
        <v>1</v>
      </c>
      <c r="I63" s="4">
        <f t="shared" si="4"/>
        <v>-1</v>
      </c>
      <c r="J63" s="4">
        <f t="shared" si="5"/>
        <v>0</v>
      </c>
      <c r="K63" s="4">
        <f t="shared" si="6"/>
        <v>0</v>
      </c>
      <c r="L63" s="4">
        <f t="shared" si="7"/>
        <v>1</v>
      </c>
      <c r="M63" s="4">
        <f t="shared" si="8"/>
        <v>1</v>
      </c>
      <c r="N63" s="4">
        <f t="shared" si="9"/>
        <v>0</v>
      </c>
      <c r="O63" s="4">
        <f t="shared" si="10"/>
        <v>1</v>
      </c>
    </row>
    <row r="64" spans="2:15" s="5" customFormat="1" ht="25.8" customHeight="1" x14ac:dyDescent="0.3">
      <c r="B64" s="4">
        <f t="shared" si="11"/>
        <v>60</v>
      </c>
      <c r="C64" s="8" t="s">
        <v>11</v>
      </c>
      <c r="D64" s="9"/>
      <c r="E64" s="10" t="s">
        <v>133</v>
      </c>
      <c r="F64" s="8" t="s">
        <v>31</v>
      </c>
      <c r="G64" s="8"/>
      <c r="H64" s="9">
        <v>2</v>
      </c>
      <c r="I64" s="4">
        <f t="shared" si="4"/>
        <v>-1</v>
      </c>
      <c r="J64" s="4">
        <f t="shared" si="5"/>
        <v>0</v>
      </c>
      <c r="K64" s="4">
        <f t="shared" si="6"/>
        <v>0</v>
      </c>
      <c r="L64" s="4">
        <f t="shared" si="7"/>
        <v>0</v>
      </c>
      <c r="M64" s="4">
        <f t="shared" si="8"/>
        <v>0</v>
      </c>
      <c r="N64" s="4">
        <f t="shared" si="9"/>
        <v>1</v>
      </c>
      <c r="O64" s="4">
        <f t="shared" si="10"/>
        <v>1</v>
      </c>
    </row>
    <row r="65" spans="2:15" s="5" customFormat="1" ht="25.8" customHeight="1" x14ac:dyDescent="0.3">
      <c r="B65" s="4">
        <f t="shared" si="11"/>
        <v>61</v>
      </c>
      <c r="C65" s="8" t="s">
        <v>11</v>
      </c>
      <c r="D65" s="9"/>
      <c r="E65" s="10" t="s">
        <v>130</v>
      </c>
      <c r="F65" s="8" t="s">
        <v>31</v>
      </c>
      <c r="G65" s="8" t="s">
        <v>6</v>
      </c>
      <c r="H65" s="9">
        <v>2</v>
      </c>
      <c r="I65" s="4">
        <f t="shared" si="4"/>
        <v>-1</v>
      </c>
      <c r="J65" s="4">
        <f t="shared" si="5"/>
        <v>1</v>
      </c>
      <c r="K65" s="4">
        <f t="shared" si="6"/>
        <v>0</v>
      </c>
      <c r="L65" s="4">
        <f t="shared" si="7"/>
        <v>0</v>
      </c>
      <c r="M65" s="4">
        <f t="shared" si="8"/>
        <v>0</v>
      </c>
      <c r="N65" s="4">
        <f t="shared" si="9"/>
        <v>1</v>
      </c>
      <c r="O65" s="4">
        <f t="shared" si="10"/>
        <v>1</v>
      </c>
    </row>
    <row r="66" spans="2:15" s="5" customFormat="1" ht="25.8" customHeight="1" x14ac:dyDescent="0.3">
      <c r="B66" s="4">
        <f t="shared" si="11"/>
        <v>62</v>
      </c>
      <c r="C66" s="8" t="s">
        <v>10</v>
      </c>
      <c r="D66" s="9"/>
      <c r="E66" s="10" t="s">
        <v>131</v>
      </c>
      <c r="F66" s="8" t="s">
        <v>31</v>
      </c>
      <c r="G66" s="8" t="s">
        <v>6</v>
      </c>
      <c r="H66" s="9">
        <v>1</v>
      </c>
      <c r="I66" s="4">
        <f t="shared" si="4"/>
        <v>-1</v>
      </c>
      <c r="J66" s="4">
        <f t="shared" si="5"/>
        <v>1</v>
      </c>
      <c r="K66" s="4">
        <f t="shared" si="6"/>
        <v>0</v>
      </c>
      <c r="L66" s="4">
        <f t="shared" si="7"/>
        <v>0</v>
      </c>
      <c r="M66" s="4">
        <f t="shared" si="8"/>
        <v>1</v>
      </c>
      <c r="N66" s="4">
        <f t="shared" si="9"/>
        <v>0</v>
      </c>
      <c r="O66" s="4">
        <f t="shared" si="10"/>
        <v>1</v>
      </c>
    </row>
    <row r="67" spans="2:15" s="5" customFormat="1" ht="25.8" customHeight="1" x14ac:dyDescent="0.3">
      <c r="B67" s="4">
        <f t="shared" si="11"/>
        <v>63</v>
      </c>
      <c r="C67" s="8" t="s">
        <v>10</v>
      </c>
      <c r="D67" s="9"/>
      <c r="E67" s="10" t="s">
        <v>132</v>
      </c>
      <c r="F67" s="8" t="s">
        <v>31</v>
      </c>
      <c r="G67" s="8" t="s">
        <v>6</v>
      </c>
      <c r="H67" s="9">
        <v>2</v>
      </c>
      <c r="I67" s="4">
        <f t="shared" si="4"/>
        <v>-1</v>
      </c>
      <c r="J67" s="4">
        <f t="shared" si="5"/>
        <v>1</v>
      </c>
      <c r="K67" s="4">
        <f t="shared" si="6"/>
        <v>0</v>
      </c>
      <c r="L67" s="4">
        <f t="shared" si="7"/>
        <v>0</v>
      </c>
      <c r="M67" s="4">
        <f t="shared" si="8"/>
        <v>1</v>
      </c>
      <c r="N67" s="4">
        <f t="shared" si="9"/>
        <v>0</v>
      </c>
      <c r="O67" s="4">
        <f t="shared" si="10"/>
        <v>1</v>
      </c>
    </row>
    <row r="68" spans="2:15" s="5" customFormat="1" ht="25.8" customHeight="1" x14ac:dyDescent="0.3">
      <c r="B68" s="4">
        <f t="shared" si="11"/>
        <v>64</v>
      </c>
      <c r="C68" s="8" t="s">
        <v>10</v>
      </c>
      <c r="D68" s="9"/>
      <c r="E68" s="10" t="s">
        <v>134</v>
      </c>
      <c r="F68" s="8" t="s">
        <v>31</v>
      </c>
      <c r="G68" s="8" t="s">
        <v>6</v>
      </c>
      <c r="H68" s="9">
        <v>1</v>
      </c>
      <c r="I68" s="4">
        <f t="shared" si="4"/>
        <v>-1</v>
      </c>
      <c r="J68" s="4">
        <f t="shared" si="5"/>
        <v>1</v>
      </c>
      <c r="K68" s="4">
        <f t="shared" si="6"/>
        <v>0</v>
      </c>
      <c r="L68" s="4">
        <f t="shared" si="7"/>
        <v>0</v>
      </c>
      <c r="M68" s="4">
        <f t="shared" si="8"/>
        <v>1</v>
      </c>
      <c r="N68" s="4">
        <f t="shared" si="9"/>
        <v>0</v>
      </c>
      <c r="O68" s="4">
        <f t="shared" si="10"/>
        <v>1</v>
      </c>
    </row>
    <row r="69" spans="2:15" s="5" customFormat="1" ht="25.8" customHeight="1" x14ac:dyDescent="0.3">
      <c r="B69" s="4">
        <f t="shared" si="11"/>
        <v>65</v>
      </c>
      <c r="C69" s="8" t="s">
        <v>10</v>
      </c>
      <c r="D69" s="9"/>
      <c r="E69" s="10" t="s">
        <v>135</v>
      </c>
      <c r="F69" s="8" t="s">
        <v>31</v>
      </c>
      <c r="G69" s="8" t="s">
        <v>7</v>
      </c>
      <c r="H69" s="9">
        <v>4</v>
      </c>
      <c r="I69" s="4">
        <f t="shared" si="4"/>
        <v>-1</v>
      </c>
      <c r="J69" s="4">
        <f t="shared" si="5"/>
        <v>0</v>
      </c>
      <c r="K69" s="4">
        <f t="shared" si="6"/>
        <v>1</v>
      </c>
      <c r="L69" s="4">
        <f t="shared" si="7"/>
        <v>0</v>
      </c>
      <c r="M69" s="4">
        <f t="shared" si="8"/>
        <v>1</v>
      </c>
      <c r="N69" s="4">
        <f t="shared" si="9"/>
        <v>0</v>
      </c>
      <c r="O69" s="4">
        <f t="shared" si="10"/>
        <v>1</v>
      </c>
    </row>
    <row r="70" spans="2:15" s="5" customFormat="1" ht="25.8" customHeight="1" x14ac:dyDescent="0.3">
      <c r="B70" s="4">
        <f t="shared" si="11"/>
        <v>66</v>
      </c>
      <c r="C70" s="8" t="s">
        <v>10</v>
      </c>
      <c r="D70" s="9"/>
      <c r="E70" s="10" t="s">
        <v>140</v>
      </c>
      <c r="F70" s="8" t="s">
        <v>31</v>
      </c>
      <c r="G70" s="8" t="s">
        <v>5</v>
      </c>
      <c r="H70" s="8"/>
      <c r="I70" s="4">
        <f t="shared" ref="I70:I133" si="12">IF($G70="Легкая",1,0)-O70</f>
        <v>1</v>
      </c>
      <c r="J70" s="4">
        <f t="shared" si="5"/>
        <v>0</v>
      </c>
      <c r="K70" s="4">
        <f t="shared" si="6"/>
        <v>0</v>
      </c>
      <c r="L70" s="4">
        <f t="shared" si="7"/>
        <v>0</v>
      </c>
      <c r="M70" s="4">
        <f t="shared" si="8"/>
        <v>1</v>
      </c>
      <c r="N70" s="4">
        <f t="shared" si="9"/>
        <v>0</v>
      </c>
      <c r="O70" s="4">
        <f t="shared" ref="O70:O133" si="13">IF(H70&gt;0,1,0)</f>
        <v>0</v>
      </c>
    </row>
    <row r="71" spans="2:15" s="5" customFormat="1" ht="25.8" customHeight="1" x14ac:dyDescent="0.3">
      <c r="B71" s="4">
        <f t="shared" ref="B71:B134" si="14">IF(E71&gt;0,1+B70,"")</f>
        <v>67</v>
      </c>
      <c r="C71" s="8" t="s">
        <v>10</v>
      </c>
      <c r="D71" s="9"/>
      <c r="E71" s="10" t="s">
        <v>141</v>
      </c>
      <c r="F71" s="8" t="s">
        <v>31</v>
      </c>
      <c r="G71" s="8" t="s">
        <v>6</v>
      </c>
      <c r="H71" s="9">
        <v>3</v>
      </c>
      <c r="I71" s="4">
        <f t="shared" si="12"/>
        <v>-1</v>
      </c>
      <c r="J71" s="4">
        <f t="shared" si="5"/>
        <v>1</v>
      </c>
      <c r="K71" s="4">
        <f t="shared" si="6"/>
        <v>0</v>
      </c>
      <c r="L71" s="4">
        <f t="shared" si="7"/>
        <v>0</v>
      </c>
      <c r="M71" s="4">
        <f t="shared" si="8"/>
        <v>1</v>
      </c>
      <c r="N71" s="4">
        <f t="shared" si="9"/>
        <v>0</v>
      </c>
      <c r="O71" s="4">
        <f t="shared" si="13"/>
        <v>1</v>
      </c>
    </row>
    <row r="72" spans="2:15" s="5" customFormat="1" ht="25.8" customHeight="1" x14ac:dyDescent="0.3">
      <c r="B72" s="4">
        <f t="shared" si="14"/>
        <v>68</v>
      </c>
      <c r="C72" s="8" t="s">
        <v>10</v>
      </c>
      <c r="D72" s="9"/>
      <c r="E72" s="10" t="s">
        <v>178</v>
      </c>
      <c r="F72" s="8" t="s">
        <v>31</v>
      </c>
      <c r="G72" s="8" t="s">
        <v>7</v>
      </c>
      <c r="H72" s="9">
        <v>4</v>
      </c>
      <c r="I72" s="4">
        <f t="shared" si="12"/>
        <v>-1</v>
      </c>
      <c r="J72" s="4">
        <f t="shared" si="5"/>
        <v>0</v>
      </c>
      <c r="K72" s="4">
        <f t="shared" si="6"/>
        <v>1</v>
      </c>
      <c r="L72" s="4">
        <f t="shared" si="7"/>
        <v>0</v>
      </c>
      <c r="M72" s="4">
        <f t="shared" si="8"/>
        <v>1</v>
      </c>
      <c r="N72" s="4">
        <f t="shared" si="9"/>
        <v>0</v>
      </c>
      <c r="O72" s="4">
        <f t="shared" si="13"/>
        <v>1</v>
      </c>
    </row>
    <row r="73" spans="2:15" s="5" customFormat="1" ht="25.8" customHeight="1" x14ac:dyDescent="0.3">
      <c r="B73" s="4">
        <f t="shared" si="14"/>
        <v>69</v>
      </c>
      <c r="C73" s="8" t="s">
        <v>10</v>
      </c>
      <c r="D73" s="9"/>
      <c r="E73" s="10" t="s">
        <v>143</v>
      </c>
      <c r="F73" s="8" t="s">
        <v>31</v>
      </c>
      <c r="G73" s="8" t="s">
        <v>8</v>
      </c>
      <c r="H73" s="9">
        <v>3</v>
      </c>
      <c r="I73" s="4">
        <f t="shared" si="12"/>
        <v>-1</v>
      </c>
      <c r="J73" s="4">
        <f t="shared" si="5"/>
        <v>0</v>
      </c>
      <c r="K73" s="4">
        <f t="shared" si="6"/>
        <v>0</v>
      </c>
      <c r="L73" s="4">
        <f t="shared" si="7"/>
        <v>1</v>
      </c>
      <c r="M73" s="4">
        <f t="shared" si="8"/>
        <v>1</v>
      </c>
      <c r="N73" s="4">
        <f t="shared" si="9"/>
        <v>0</v>
      </c>
      <c r="O73" s="4">
        <f t="shared" si="13"/>
        <v>1</v>
      </c>
    </row>
    <row r="74" spans="2:15" s="5" customFormat="1" ht="25.8" customHeight="1" x14ac:dyDescent="0.3">
      <c r="B74" s="4">
        <f t="shared" si="14"/>
        <v>70</v>
      </c>
      <c r="C74" s="8" t="s">
        <v>10</v>
      </c>
      <c r="D74" s="9"/>
      <c r="E74" s="10" t="s">
        <v>144</v>
      </c>
      <c r="F74" s="8" t="s">
        <v>31</v>
      </c>
      <c r="G74" s="8" t="s">
        <v>8</v>
      </c>
      <c r="H74" s="9"/>
      <c r="I74" s="4">
        <f t="shared" si="12"/>
        <v>0</v>
      </c>
      <c r="J74" s="4">
        <f t="shared" si="5"/>
        <v>0</v>
      </c>
      <c r="K74" s="4">
        <f t="shared" si="6"/>
        <v>0</v>
      </c>
      <c r="L74" s="4">
        <f t="shared" si="7"/>
        <v>1</v>
      </c>
      <c r="M74" s="4">
        <f t="shared" si="8"/>
        <v>1</v>
      </c>
      <c r="N74" s="4">
        <f t="shared" si="9"/>
        <v>0</v>
      </c>
      <c r="O74" s="4">
        <f t="shared" si="13"/>
        <v>0</v>
      </c>
    </row>
    <row r="75" spans="2:15" s="5" customFormat="1" ht="25.8" customHeight="1" x14ac:dyDescent="0.3">
      <c r="B75" s="4">
        <f t="shared" si="14"/>
        <v>71</v>
      </c>
      <c r="C75" s="8" t="s">
        <v>10</v>
      </c>
      <c r="D75" s="9"/>
      <c r="E75" s="10" t="s">
        <v>145</v>
      </c>
      <c r="F75" s="8" t="s">
        <v>31</v>
      </c>
      <c r="G75" s="8" t="s">
        <v>8</v>
      </c>
      <c r="H75" s="9"/>
      <c r="I75" s="4">
        <f t="shared" si="12"/>
        <v>0</v>
      </c>
      <c r="J75" s="4">
        <f t="shared" si="5"/>
        <v>0</v>
      </c>
      <c r="K75" s="4">
        <f t="shared" si="6"/>
        <v>0</v>
      </c>
      <c r="L75" s="4">
        <f t="shared" si="7"/>
        <v>1</v>
      </c>
      <c r="M75" s="4">
        <f t="shared" si="8"/>
        <v>1</v>
      </c>
      <c r="N75" s="4">
        <f t="shared" si="9"/>
        <v>0</v>
      </c>
      <c r="O75" s="4">
        <f t="shared" si="13"/>
        <v>0</v>
      </c>
    </row>
    <row r="76" spans="2:15" s="5" customFormat="1" ht="25.8" customHeight="1" x14ac:dyDescent="0.3">
      <c r="B76" s="4">
        <f t="shared" si="14"/>
        <v>72</v>
      </c>
      <c r="C76" s="8" t="s">
        <v>11</v>
      </c>
      <c r="D76" s="9"/>
      <c r="E76" s="10" t="s">
        <v>146</v>
      </c>
      <c r="F76" s="8" t="s">
        <v>31</v>
      </c>
      <c r="G76" s="8"/>
      <c r="H76" s="9"/>
      <c r="I76" s="4">
        <f t="shared" si="12"/>
        <v>0</v>
      </c>
      <c r="J76" s="4">
        <f t="shared" si="5"/>
        <v>0</v>
      </c>
      <c r="K76" s="4">
        <f t="shared" si="6"/>
        <v>0</v>
      </c>
      <c r="L76" s="4">
        <f t="shared" si="7"/>
        <v>0</v>
      </c>
      <c r="M76" s="4">
        <f t="shared" si="8"/>
        <v>0</v>
      </c>
      <c r="N76" s="4">
        <f t="shared" si="9"/>
        <v>1</v>
      </c>
      <c r="O76" s="4">
        <f t="shared" si="13"/>
        <v>0</v>
      </c>
    </row>
    <row r="77" spans="2:15" s="5" customFormat="1" ht="25.8" customHeight="1" x14ac:dyDescent="0.3">
      <c r="B77" s="4">
        <f t="shared" si="14"/>
        <v>73</v>
      </c>
      <c r="C77" s="8" t="s">
        <v>10</v>
      </c>
      <c r="D77" s="9"/>
      <c r="E77" s="10" t="s">
        <v>147</v>
      </c>
      <c r="F77" s="8" t="s">
        <v>31</v>
      </c>
      <c r="G77" s="8"/>
      <c r="H77" s="9"/>
      <c r="I77" s="4">
        <f t="shared" si="12"/>
        <v>0</v>
      </c>
      <c r="J77" s="4">
        <f t="shared" si="5"/>
        <v>0</v>
      </c>
      <c r="K77" s="4">
        <f t="shared" si="6"/>
        <v>0</v>
      </c>
      <c r="L77" s="4">
        <f t="shared" si="7"/>
        <v>0</v>
      </c>
      <c r="M77" s="4">
        <f t="shared" si="8"/>
        <v>1</v>
      </c>
      <c r="N77" s="4">
        <f t="shared" si="9"/>
        <v>0</v>
      </c>
      <c r="O77" s="4">
        <f t="shared" si="13"/>
        <v>0</v>
      </c>
    </row>
    <row r="78" spans="2:15" s="5" customFormat="1" ht="25.8" customHeight="1" x14ac:dyDescent="0.3">
      <c r="B78" s="4">
        <f t="shared" si="14"/>
        <v>74</v>
      </c>
      <c r="C78" s="8" t="s">
        <v>10</v>
      </c>
      <c r="D78" s="9"/>
      <c r="E78" s="10" t="s">
        <v>148</v>
      </c>
      <c r="F78" s="8" t="s">
        <v>31</v>
      </c>
      <c r="G78" s="8"/>
      <c r="H78" s="9"/>
      <c r="I78" s="4">
        <f t="shared" si="12"/>
        <v>0</v>
      </c>
      <c r="J78" s="4">
        <f t="shared" si="5"/>
        <v>0</v>
      </c>
      <c r="K78" s="4">
        <f t="shared" si="6"/>
        <v>0</v>
      </c>
      <c r="L78" s="4">
        <f t="shared" si="7"/>
        <v>0</v>
      </c>
      <c r="M78" s="4">
        <f t="shared" si="8"/>
        <v>1</v>
      </c>
      <c r="N78" s="4">
        <f t="shared" si="9"/>
        <v>0</v>
      </c>
      <c r="O78" s="4">
        <f t="shared" si="13"/>
        <v>0</v>
      </c>
    </row>
    <row r="79" spans="2:15" s="5" customFormat="1" ht="25.8" customHeight="1" x14ac:dyDescent="0.3">
      <c r="B79" s="4">
        <f t="shared" si="14"/>
        <v>75</v>
      </c>
      <c r="C79" s="8" t="s">
        <v>10</v>
      </c>
      <c r="D79" s="9"/>
      <c r="E79" s="10" t="s">
        <v>149</v>
      </c>
      <c r="F79" s="8" t="s">
        <v>31</v>
      </c>
      <c r="G79" s="8"/>
      <c r="H79" s="9"/>
      <c r="I79" s="4">
        <f t="shared" si="12"/>
        <v>0</v>
      </c>
      <c r="J79" s="4">
        <f t="shared" si="5"/>
        <v>0</v>
      </c>
      <c r="K79" s="4">
        <f t="shared" si="6"/>
        <v>0</v>
      </c>
      <c r="L79" s="4">
        <f t="shared" si="7"/>
        <v>0</v>
      </c>
      <c r="M79" s="4">
        <f t="shared" si="8"/>
        <v>1</v>
      </c>
      <c r="N79" s="4">
        <f t="shared" si="9"/>
        <v>0</v>
      </c>
      <c r="O79" s="4">
        <f t="shared" si="13"/>
        <v>0</v>
      </c>
    </row>
    <row r="80" spans="2:15" s="5" customFormat="1" ht="25.8" customHeight="1" x14ac:dyDescent="0.3">
      <c r="B80" s="4">
        <f t="shared" si="14"/>
        <v>76</v>
      </c>
      <c r="C80" s="8" t="s">
        <v>10</v>
      </c>
      <c r="D80" s="9"/>
      <c r="E80" s="10" t="s">
        <v>150</v>
      </c>
      <c r="F80" s="8" t="s">
        <v>31</v>
      </c>
      <c r="G80" s="8"/>
      <c r="H80" s="9"/>
      <c r="I80" s="4">
        <f t="shared" si="12"/>
        <v>0</v>
      </c>
      <c r="J80" s="4">
        <f t="shared" si="5"/>
        <v>0</v>
      </c>
      <c r="K80" s="4">
        <f t="shared" si="6"/>
        <v>0</v>
      </c>
      <c r="L80" s="4">
        <f t="shared" si="7"/>
        <v>0</v>
      </c>
      <c r="M80" s="4">
        <f t="shared" si="8"/>
        <v>1</v>
      </c>
      <c r="N80" s="4">
        <f t="shared" si="9"/>
        <v>0</v>
      </c>
      <c r="O80" s="4">
        <f t="shared" si="13"/>
        <v>0</v>
      </c>
    </row>
    <row r="81" spans="2:15" s="5" customFormat="1" ht="25.8" customHeight="1" x14ac:dyDescent="0.3">
      <c r="B81" s="4">
        <f t="shared" si="14"/>
        <v>77</v>
      </c>
      <c r="C81" s="8" t="s">
        <v>10</v>
      </c>
      <c r="D81" s="9"/>
      <c r="E81" s="10" t="s">
        <v>151</v>
      </c>
      <c r="F81" s="8" t="s">
        <v>31</v>
      </c>
      <c r="G81" s="8"/>
      <c r="H81" s="9"/>
      <c r="I81" s="4">
        <f t="shared" si="12"/>
        <v>0</v>
      </c>
      <c r="J81" s="4">
        <f t="shared" si="5"/>
        <v>0</v>
      </c>
      <c r="K81" s="4">
        <f t="shared" si="6"/>
        <v>0</v>
      </c>
      <c r="L81" s="4">
        <f t="shared" si="7"/>
        <v>0</v>
      </c>
      <c r="M81" s="4">
        <f t="shared" si="8"/>
        <v>1</v>
      </c>
      <c r="N81" s="4">
        <f t="shared" si="9"/>
        <v>0</v>
      </c>
      <c r="O81" s="4">
        <f t="shared" si="13"/>
        <v>0</v>
      </c>
    </row>
    <row r="82" spans="2:15" s="5" customFormat="1" ht="25.8" customHeight="1" x14ac:dyDescent="0.3">
      <c r="B82" s="4">
        <f t="shared" si="14"/>
        <v>78</v>
      </c>
      <c r="C82" s="8" t="s">
        <v>10</v>
      </c>
      <c r="D82" s="9"/>
      <c r="E82" s="10" t="s">
        <v>184</v>
      </c>
      <c r="F82" s="8" t="s">
        <v>31</v>
      </c>
      <c r="G82" s="8"/>
      <c r="H82" s="9">
        <v>-100</v>
      </c>
      <c r="I82" s="4">
        <f t="shared" si="12"/>
        <v>0</v>
      </c>
      <c r="J82" s="4">
        <f t="shared" si="5"/>
        <v>0</v>
      </c>
      <c r="K82" s="4">
        <f t="shared" si="6"/>
        <v>0</v>
      </c>
      <c r="L82" s="4">
        <f t="shared" si="7"/>
        <v>0</v>
      </c>
      <c r="M82" s="4">
        <f t="shared" si="8"/>
        <v>1</v>
      </c>
      <c r="N82" s="4">
        <f t="shared" si="9"/>
        <v>0</v>
      </c>
      <c r="O82" s="4">
        <f t="shared" si="13"/>
        <v>0</v>
      </c>
    </row>
    <row r="83" spans="2:15" s="5" customFormat="1" ht="28.8" x14ac:dyDescent="0.3">
      <c r="B83" s="4">
        <f t="shared" si="14"/>
        <v>79</v>
      </c>
      <c r="C83" s="8" t="s">
        <v>11</v>
      </c>
      <c r="D83" s="9"/>
      <c r="E83" s="10" t="s">
        <v>152</v>
      </c>
      <c r="F83" s="8" t="s">
        <v>31</v>
      </c>
      <c r="G83" s="8"/>
      <c r="H83" s="9"/>
      <c r="I83" s="4">
        <f t="shared" si="12"/>
        <v>0</v>
      </c>
      <c r="J83" s="4">
        <f t="shared" si="5"/>
        <v>0</v>
      </c>
      <c r="K83" s="4">
        <f t="shared" si="6"/>
        <v>0</v>
      </c>
      <c r="L83" s="4">
        <f t="shared" si="7"/>
        <v>0</v>
      </c>
      <c r="M83" s="4">
        <f t="shared" si="8"/>
        <v>0</v>
      </c>
      <c r="N83" s="4">
        <f t="shared" si="9"/>
        <v>1</v>
      </c>
      <c r="O83" s="4">
        <f t="shared" si="13"/>
        <v>0</v>
      </c>
    </row>
    <row r="84" spans="2:15" s="5" customFormat="1" ht="25.8" customHeight="1" x14ac:dyDescent="0.3">
      <c r="B84" s="4">
        <f t="shared" si="14"/>
        <v>80</v>
      </c>
      <c r="C84" s="8" t="s">
        <v>11</v>
      </c>
      <c r="D84" s="9"/>
      <c r="E84" s="10" t="s">
        <v>153</v>
      </c>
      <c r="F84" s="8" t="s">
        <v>31</v>
      </c>
      <c r="G84" s="8"/>
      <c r="H84" s="9"/>
      <c r="I84" s="4">
        <f t="shared" si="12"/>
        <v>0</v>
      </c>
      <c r="J84" s="4">
        <f t="shared" si="5"/>
        <v>0</v>
      </c>
      <c r="K84" s="4">
        <f t="shared" si="6"/>
        <v>0</v>
      </c>
      <c r="L84" s="4">
        <f t="shared" si="7"/>
        <v>0</v>
      </c>
      <c r="M84" s="4">
        <f t="shared" si="8"/>
        <v>0</v>
      </c>
      <c r="N84" s="4">
        <f t="shared" si="9"/>
        <v>1</v>
      </c>
      <c r="O84" s="4">
        <f t="shared" si="13"/>
        <v>0</v>
      </c>
    </row>
    <row r="85" spans="2:15" s="5" customFormat="1" ht="25.8" customHeight="1" x14ac:dyDescent="0.3">
      <c r="B85" s="4">
        <f t="shared" si="14"/>
        <v>81</v>
      </c>
      <c r="C85" s="8" t="s">
        <v>11</v>
      </c>
      <c r="D85" s="9"/>
      <c r="E85" s="10" t="s">
        <v>154</v>
      </c>
      <c r="F85" s="8" t="s">
        <v>31</v>
      </c>
      <c r="G85" s="8"/>
      <c r="H85" s="9"/>
      <c r="I85" s="4">
        <f t="shared" si="12"/>
        <v>0</v>
      </c>
      <c r="J85" s="4">
        <f t="shared" si="5"/>
        <v>0</v>
      </c>
      <c r="K85" s="4">
        <f t="shared" si="6"/>
        <v>0</v>
      </c>
      <c r="L85" s="4">
        <f t="shared" si="7"/>
        <v>0</v>
      </c>
      <c r="M85" s="4">
        <f t="shared" si="8"/>
        <v>0</v>
      </c>
      <c r="N85" s="4">
        <f t="shared" si="9"/>
        <v>1</v>
      </c>
      <c r="O85" s="4">
        <f t="shared" si="13"/>
        <v>0</v>
      </c>
    </row>
    <row r="86" spans="2:15" s="5" customFormat="1" ht="25.8" customHeight="1" x14ac:dyDescent="0.3">
      <c r="B86" s="4">
        <f t="shared" si="14"/>
        <v>82</v>
      </c>
      <c r="C86" s="8" t="s">
        <v>11</v>
      </c>
      <c r="D86" s="9"/>
      <c r="E86" s="10" t="s">
        <v>155</v>
      </c>
      <c r="F86" s="8" t="s">
        <v>31</v>
      </c>
      <c r="G86" s="8"/>
      <c r="H86" s="9"/>
      <c r="I86" s="4">
        <f t="shared" si="12"/>
        <v>0</v>
      </c>
      <c r="J86" s="4">
        <f t="shared" si="5"/>
        <v>0</v>
      </c>
      <c r="K86" s="4">
        <f t="shared" si="6"/>
        <v>0</v>
      </c>
      <c r="L86" s="4">
        <f t="shared" si="7"/>
        <v>0</v>
      </c>
      <c r="M86" s="4">
        <f t="shared" si="8"/>
        <v>0</v>
      </c>
      <c r="N86" s="4">
        <f t="shared" si="9"/>
        <v>1</v>
      </c>
      <c r="O86" s="4">
        <f t="shared" si="13"/>
        <v>0</v>
      </c>
    </row>
    <row r="87" spans="2:15" s="5" customFormat="1" ht="25.8" customHeight="1" x14ac:dyDescent="0.3">
      <c r="B87" s="4">
        <f t="shared" si="14"/>
        <v>83</v>
      </c>
      <c r="C87" s="8" t="s">
        <v>11</v>
      </c>
      <c r="D87" s="9"/>
      <c r="E87" s="10" t="s">
        <v>156</v>
      </c>
      <c r="F87" s="8" t="s">
        <v>31</v>
      </c>
      <c r="G87" s="8"/>
      <c r="H87" s="9"/>
      <c r="I87" s="4">
        <f t="shared" si="12"/>
        <v>0</v>
      </c>
      <c r="J87" s="4">
        <f t="shared" si="5"/>
        <v>0</v>
      </c>
      <c r="K87" s="4">
        <f t="shared" si="6"/>
        <v>0</v>
      </c>
      <c r="L87" s="4">
        <f t="shared" si="7"/>
        <v>0</v>
      </c>
      <c r="M87" s="4">
        <f t="shared" si="8"/>
        <v>0</v>
      </c>
      <c r="N87" s="4">
        <f t="shared" si="9"/>
        <v>1</v>
      </c>
      <c r="O87" s="4">
        <f t="shared" si="13"/>
        <v>0</v>
      </c>
    </row>
    <row r="88" spans="2:15" s="5" customFormat="1" ht="25.8" customHeight="1" x14ac:dyDescent="0.3">
      <c r="B88" s="4">
        <f t="shared" si="14"/>
        <v>84</v>
      </c>
      <c r="C88" s="8" t="s">
        <v>11</v>
      </c>
      <c r="D88" s="9"/>
      <c r="E88" s="10" t="s">
        <v>175</v>
      </c>
      <c r="F88" s="8" t="s">
        <v>31</v>
      </c>
      <c r="G88" s="8"/>
      <c r="H88" s="9"/>
      <c r="I88" s="4">
        <f t="shared" si="12"/>
        <v>0</v>
      </c>
      <c r="J88" s="4">
        <f t="shared" si="5"/>
        <v>0</v>
      </c>
      <c r="K88" s="4">
        <f t="shared" si="6"/>
        <v>0</v>
      </c>
      <c r="L88" s="4">
        <f t="shared" si="7"/>
        <v>0</v>
      </c>
      <c r="M88" s="4">
        <f t="shared" si="8"/>
        <v>0</v>
      </c>
      <c r="N88" s="4">
        <f t="shared" si="9"/>
        <v>1</v>
      </c>
      <c r="O88" s="4">
        <f t="shared" si="13"/>
        <v>0</v>
      </c>
    </row>
    <row r="89" spans="2:15" s="5" customFormat="1" ht="25.8" customHeight="1" x14ac:dyDescent="0.3">
      <c r="B89" s="4">
        <f t="shared" si="14"/>
        <v>85</v>
      </c>
      <c r="C89" s="8" t="s">
        <v>11</v>
      </c>
      <c r="D89" s="9"/>
      <c r="E89" s="10" t="s">
        <v>157</v>
      </c>
      <c r="F89" s="8" t="s">
        <v>31</v>
      </c>
      <c r="G89" s="8"/>
      <c r="H89" s="9"/>
      <c r="I89" s="4">
        <f t="shared" si="12"/>
        <v>0</v>
      </c>
      <c r="J89" s="4">
        <f t="shared" si="5"/>
        <v>0</v>
      </c>
      <c r="K89" s="4">
        <f t="shared" si="6"/>
        <v>0</v>
      </c>
      <c r="L89" s="4">
        <f t="shared" si="7"/>
        <v>0</v>
      </c>
      <c r="M89" s="4">
        <f t="shared" si="8"/>
        <v>0</v>
      </c>
      <c r="N89" s="4">
        <f t="shared" si="9"/>
        <v>1</v>
      </c>
      <c r="O89" s="4">
        <f t="shared" si="13"/>
        <v>0</v>
      </c>
    </row>
    <row r="90" spans="2:15" s="5" customFormat="1" ht="25.8" customHeight="1" x14ac:dyDescent="0.3">
      <c r="B90" s="4">
        <f t="shared" si="14"/>
        <v>86</v>
      </c>
      <c r="C90" s="8" t="s">
        <v>10</v>
      </c>
      <c r="D90" s="9"/>
      <c r="E90" s="10" t="s">
        <v>183</v>
      </c>
      <c r="F90" s="8" t="s">
        <v>31</v>
      </c>
      <c r="G90" s="8"/>
      <c r="H90" s="9"/>
      <c r="I90" s="4">
        <f t="shared" si="12"/>
        <v>0</v>
      </c>
      <c r="J90" s="4">
        <f t="shared" si="5"/>
        <v>0</v>
      </c>
      <c r="K90" s="4">
        <f t="shared" si="6"/>
        <v>0</v>
      </c>
      <c r="L90" s="4">
        <f t="shared" si="7"/>
        <v>0</v>
      </c>
      <c r="M90" s="4">
        <f t="shared" si="8"/>
        <v>1</v>
      </c>
      <c r="N90" s="4">
        <f t="shared" si="9"/>
        <v>0</v>
      </c>
      <c r="O90" s="4">
        <f t="shared" si="13"/>
        <v>0</v>
      </c>
    </row>
    <row r="91" spans="2:15" s="5" customFormat="1" ht="25.8" customHeight="1" x14ac:dyDescent="0.3">
      <c r="B91" s="4">
        <f t="shared" si="14"/>
        <v>87</v>
      </c>
      <c r="C91" s="8" t="s">
        <v>10</v>
      </c>
      <c r="D91" s="9"/>
      <c r="E91" s="10" t="s">
        <v>158</v>
      </c>
      <c r="F91" s="8" t="s">
        <v>31</v>
      </c>
      <c r="G91" s="8"/>
      <c r="H91" s="9"/>
      <c r="I91" s="4">
        <f t="shared" si="12"/>
        <v>0</v>
      </c>
      <c r="J91" s="4">
        <f t="shared" si="5"/>
        <v>0</v>
      </c>
      <c r="K91" s="4">
        <f t="shared" si="6"/>
        <v>0</v>
      </c>
      <c r="L91" s="4">
        <f t="shared" si="7"/>
        <v>0</v>
      </c>
      <c r="M91" s="4">
        <f t="shared" si="8"/>
        <v>1</v>
      </c>
      <c r="N91" s="4">
        <f t="shared" si="9"/>
        <v>0</v>
      </c>
      <c r="O91" s="4">
        <f t="shared" si="13"/>
        <v>0</v>
      </c>
    </row>
    <row r="92" spans="2:15" s="5" customFormat="1" ht="25.8" customHeight="1" x14ac:dyDescent="0.3">
      <c r="B92" s="4">
        <f t="shared" si="14"/>
        <v>88</v>
      </c>
      <c r="C92" s="8" t="s">
        <v>10</v>
      </c>
      <c r="D92" s="9"/>
      <c r="E92" s="10" t="s">
        <v>182</v>
      </c>
      <c r="F92" s="8" t="s">
        <v>31</v>
      </c>
      <c r="G92" s="8"/>
      <c r="H92" s="9"/>
      <c r="I92" s="4">
        <f t="shared" si="12"/>
        <v>0</v>
      </c>
      <c r="J92" s="4">
        <f t="shared" si="5"/>
        <v>0</v>
      </c>
      <c r="K92" s="4">
        <f t="shared" si="6"/>
        <v>0</v>
      </c>
      <c r="L92" s="4">
        <f t="shared" si="7"/>
        <v>0</v>
      </c>
      <c r="M92" s="4">
        <f t="shared" si="8"/>
        <v>1</v>
      </c>
      <c r="N92" s="4">
        <f t="shared" si="9"/>
        <v>0</v>
      </c>
      <c r="O92" s="4">
        <f t="shared" si="13"/>
        <v>0</v>
      </c>
    </row>
    <row r="93" spans="2:15" s="5" customFormat="1" ht="25.8" customHeight="1" x14ac:dyDescent="0.3">
      <c r="B93" s="4">
        <f t="shared" si="14"/>
        <v>89</v>
      </c>
      <c r="C93" s="8" t="s">
        <v>10</v>
      </c>
      <c r="D93" s="9"/>
      <c r="E93" s="10" t="s">
        <v>159</v>
      </c>
      <c r="F93" s="8" t="s">
        <v>31</v>
      </c>
      <c r="G93" s="8"/>
      <c r="H93" s="9"/>
      <c r="I93" s="4">
        <f t="shared" si="12"/>
        <v>0</v>
      </c>
      <c r="J93" s="4">
        <f t="shared" si="5"/>
        <v>0</v>
      </c>
      <c r="K93" s="4">
        <f t="shared" si="6"/>
        <v>0</v>
      </c>
      <c r="L93" s="4">
        <f t="shared" si="7"/>
        <v>0</v>
      </c>
      <c r="M93" s="4">
        <f t="shared" si="8"/>
        <v>1</v>
      </c>
      <c r="N93" s="4">
        <f t="shared" si="9"/>
        <v>0</v>
      </c>
      <c r="O93" s="4">
        <f t="shared" si="13"/>
        <v>0</v>
      </c>
    </row>
    <row r="94" spans="2:15" s="5" customFormat="1" ht="25.8" customHeight="1" x14ac:dyDescent="0.3">
      <c r="B94" s="4">
        <f t="shared" si="14"/>
        <v>90</v>
      </c>
      <c r="C94" s="8" t="s">
        <v>10</v>
      </c>
      <c r="D94" s="9"/>
      <c r="E94" s="10" t="s">
        <v>181</v>
      </c>
      <c r="F94" s="8" t="s">
        <v>31</v>
      </c>
      <c r="G94" s="8"/>
      <c r="H94" s="9"/>
      <c r="I94" s="4">
        <f t="shared" si="12"/>
        <v>0</v>
      </c>
      <c r="J94" s="4">
        <f t="shared" si="5"/>
        <v>0</v>
      </c>
      <c r="K94" s="4">
        <f t="shared" si="6"/>
        <v>0</v>
      </c>
      <c r="L94" s="4">
        <f t="shared" si="7"/>
        <v>0</v>
      </c>
      <c r="M94" s="4">
        <f t="shared" si="8"/>
        <v>1</v>
      </c>
      <c r="N94" s="4">
        <f t="shared" si="9"/>
        <v>0</v>
      </c>
      <c r="O94" s="4">
        <f t="shared" si="13"/>
        <v>0</v>
      </c>
    </row>
    <row r="95" spans="2:15" s="5" customFormat="1" ht="43.2" x14ac:dyDescent="0.3">
      <c r="B95" s="4">
        <f t="shared" si="14"/>
        <v>91</v>
      </c>
      <c r="C95" s="8" t="s">
        <v>11</v>
      </c>
      <c r="D95" s="9"/>
      <c r="E95" s="10" t="s">
        <v>160</v>
      </c>
      <c r="F95" s="8" t="s">
        <v>31</v>
      </c>
      <c r="G95" s="8"/>
      <c r="H95" s="9"/>
      <c r="I95" s="4">
        <f t="shared" si="12"/>
        <v>0</v>
      </c>
      <c r="J95" s="4">
        <f t="shared" si="5"/>
        <v>0</v>
      </c>
      <c r="K95" s="4">
        <f t="shared" si="6"/>
        <v>0</v>
      </c>
      <c r="L95" s="4">
        <f t="shared" si="7"/>
        <v>0</v>
      </c>
      <c r="M95" s="4">
        <f t="shared" si="8"/>
        <v>0</v>
      </c>
      <c r="N95" s="4">
        <f t="shared" si="9"/>
        <v>1</v>
      </c>
      <c r="O95" s="4">
        <f t="shared" si="13"/>
        <v>0</v>
      </c>
    </row>
    <row r="96" spans="2:15" s="5" customFormat="1" ht="43.2" x14ac:dyDescent="0.3">
      <c r="B96" s="4">
        <f t="shared" si="14"/>
        <v>92</v>
      </c>
      <c r="C96" s="8" t="s">
        <v>11</v>
      </c>
      <c r="D96" s="9"/>
      <c r="E96" s="10" t="s">
        <v>174</v>
      </c>
      <c r="F96" s="8" t="s">
        <v>31</v>
      </c>
      <c r="G96" s="8"/>
      <c r="H96" s="9"/>
      <c r="I96" s="4">
        <f t="shared" si="12"/>
        <v>0</v>
      </c>
      <c r="J96" s="4">
        <f t="shared" si="5"/>
        <v>0</v>
      </c>
      <c r="K96" s="4">
        <f t="shared" si="6"/>
        <v>0</v>
      </c>
      <c r="L96" s="4">
        <f t="shared" si="7"/>
        <v>0</v>
      </c>
      <c r="M96" s="4">
        <f t="shared" si="8"/>
        <v>0</v>
      </c>
      <c r="N96" s="4">
        <f t="shared" si="9"/>
        <v>1</v>
      </c>
      <c r="O96" s="4">
        <f t="shared" si="13"/>
        <v>0</v>
      </c>
    </row>
    <row r="97" spans="2:15" s="5" customFormat="1" ht="25.8" customHeight="1" x14ac:dyDescent="0.3">
      <c r="B97" s="4">
        <f t="shared" si="14"/>
        <v>93</v>
      </c>
      <c r="C97" s="8" t="s">
        <v>11</v>
      </c>
      <c r="D97" s="9"/>
      <c r="E97" s="10" t="s">
        <v>161</v>
      </c>
      <c r="F97" s="8" t="s">
        <v>31</v>
      </c>
      <c r="G97" s="8"/>
      <c r="H97" s="9"/>
      <c r="I97" s="4">
        <f t="shared" si="12"/>
        <v>0</v>
      </c>
      <c r="J97" s="4">
        <f t="shared" si="5"/>
        <v>0</v>
      </c>
      <c r="K97" s="4">
        <f t="shared" si="6"/>
        <v>0</v>
      </c>
      <c r="L97" s="4">
        <f t="shared" si="7"/>
        <v>0</v>
      </c>
      <c r="M97" s="4">
        <f t="shared" si="8"/>
        <v>0</v>
      </c>
      <c r="N97" s="4">
        <f t="shared" si="9"/>
        <v>1</v>
      </c>
      <c r="O97" s="4">
        <f t="shared" si="13"/>
        <v>0</v>
      </c>
    </row>
    <row r="98" spans="2:15" s="5" customFormat="1" ht="25.8" customHeight="1" x14ac:dyDescent="0.3">
      <c r="B98" s="4">
        <f t="shared" si="14"/>
        <v>94</v>
      </c>
      <c r="C98" s="8" t="s">
        <v>11</v>
      </c>
      <c r="D98" s="9"/>
      <c r="E98" s="10" t="s">
        <v>162</v>
      </c>
      <c r="F98" s="8" t="s">
        <v>31</v>
      </c>
      <c r="G98" s="8"/>
      <c r="H98" s="9"/>
      <c r="I98" s="4">
        <f t="shared" si="12"/>
        <v>0</v>
      </c>
      <c r="J98" s="4">
        <f t="shared" si="5"/>
        <v>0</v>
      </c>
      <c r="K98" s="4">
        <f t="shared" si="6"/>
        <v>0</v>
      </c>
      <c r="L98" s="4">
        <f t="shared" si="7"/>
        <v>0</v>
      </c>
      <c r="M98" s="4">
        <f t="shared" si="8"/>
        <v>0</v>
      </c>
      <c r="N98" s="4">
        <f t="shared" si="9"/>
        <v>1</v>
      </c>
      <c r="O98" s="4">
        <f t="shared" si="13"/>
        <v>0</v>
      </c>
    </row>
    <row r="99" spans="2:15" s="5" customFormat="1" ht="25.8" customHeight="1" x14ac:dyDescent="0.3">
      <c r="B99" s="4">
        <f t="shared" si="14"/>
        <v>95</v>
      </c>
      <c r="C99" s="8" t="s">
        <v>10</v>
      </c>
      <c r="D99" s="9"/>
      <c r="E99" s="10" t="s">
        <v>180</v>
      </c>
      <c r="F99" s="8" t="s">
        <v>31</v>
      </c>
      <c r="G99" s="8"/>
      <c r="H99" s="9"/>
      <c r="I99" s="4">
        <f t="shared" si="12"/>
        <v>0</v>
      </c>
      <c r="J99" s="4">
        <f t="shared" si="5"/>
        <v>0</v>
      </c>
      <c r="K99" s="4">
        <f t="shared" si="6"/>
        <v>0</v>
      </c>
      <c r="L99" s="4">
        <f t="shared" si="7"/>
        <v>0</v>
      </c>
      <c r="M99" s="4">
        <f t="shared" si="8"/>
        <v>1</v>
      </c>
      <c r="N99" s="4">
        <f t="shared" si="9"/>
        <v>0</v>
      </c>
      <c r="O99" s="4">
        <f t="shared" si="13"/>
        <v>0</v>
      </c>
    </row>
    <row r="100" spans="2:15" s="5" customFormat="1" ht="25.8" customHeight="1" x14ac:dyDescent="0.3">
      <c r="B100" s="4">
        <f t="shared" si="14"/>
        <v>96</v>
      </c>
      <c r="C100" s="8" t="s">
        <v>10</v>
      </c>
      <c r="D100" s="9"/>
      <c r="E100" s="10" t="s">
        <v>163</v>
      </c>
      <c r="F100" s="8" t="s">
        <v>31</v>
      </c>
      <c r="G100" s="8"/>
      <c r="H100" s="9"/>
      <c r="I100" s="4">
        <f t="shared" si="12"/>
        <v>0</v>
      </c>
      <c r="J100" s="4">
        <f t="shared" si="5"/>
        <v>0</v>
      </c>
      <c r="K100" s="4">
        <f t="shared" si="6"/>
        <v>0</v>
      </c>
      <c r="L100" s="4">
        <f t="shared" si="7"/>
        <v>0</v>
      </c>
      <c r="M100" s="4">
        <f t="shared" si="8"/>
        <v>1</v>
      </c>
      <c r="N100" s="4">
        <f t="shared" si="9"/>
        <v>0</v>
      </c>
      <c r="O100" s="4">
        <f t="shared" si="13"/>
        <v>0</v>
      </c>
    </row>
    <row r="101" spans="2:15" s="5" customFormat="1" ht="25.8" customHeight="1" x14ac:dyDescent="0.3">
      <c r="B101" s="4">
        <f t="shared" si="14"/>
        <v>97</v>
      </c>
      <c r="C101" s="8" t="s">
        <v>10</v>
      </c>
      <c r="D101" s="9"/>
      <c r="E101" s="10" t="s">
        <v>164</v>
      </c>
      <c r="F101" s="8" t="s">
        <v>31</v>
      </c>
      <c r="G101" s="8"/>
      <c r="H101" s="9"/>
      <c r="I101" s="4">
        <f t="shared" si="12"/>
        <v>0</v>
      </c>
      <c r="J101" s="4">
        <f t="shared" si="5"/>
        <v>0</v>
      </c>
      <c r="K101" s="4">
        <f t="shared" si="6"/>
        <v>0</v>
      </c>
      <c r="L101" s="4">
        <f t="shared" si="7"/>
        <v>0</v>
      </c>
      <c r="M101" s="4">
        <f t="shared" si="8"/>
        <v>1</v>
      </c>
      <c r="N101" s="4">
        <f t="shared" si="9"/>
        <v>0</v>
      </c>
      <c r="O101" s="4">
        <f t="shared" si="13"/>
        <v>0</v>
      </c>
    </row>
    <row r="102" spans="2:15" s="5" customFormat="1" ht="25.8" customHeight="1" x14ac:dyDescent="0.3">
      <c r="B102" s="4">
        <f t="shared" si="14"/>
        <v>98</v>
      </c>
      <c r="C102" s="8" t="s">
        <v>11</v>
      </c>
      <c r="D102" s="9"/>
      <c r="E102" s="10" t="s">
        <v>165</v>
      </c>
      <c r="F102" s="8" t="s">
        <v>31</v>
      </c>
      <c r="G102" s="8"/>
      <c r="H102" s="9"/>
      <c r="I102" s="4">
        <f t="shared" si="12"/>
        <v>0</v>
      </c>
      <c r="J102" s="4">
        <f t="shared" si="5"/>
        <v>0</v>
      </c>
      <c r="K102" s="4">
        <f t="shared" si="6"/>
        <v>0</v>
      </c>
      <c r="L102" s="4">
        <f t="shared" si="7"/>
        <v>0</v>
      </c>
      <c r="M102" s="4">
        <f t="shared" si="8"/>
        <v>0</v>
      </c>
      <c r="N102" s="4">
        <f t="shared" si="9"/>
        <v>1</v>
      </c>
      <c r="O102" s="4">
        <f t="shared" si="13"/>
        <v>0</v>
      </c>
    </row>
    <row r="103" spans="2:15" s="5" customFormat="1" ht="57.6" x14ac:dyDescent="0.3">
      <c r="B103" s="4">
        <f t="shared" si="14"/>
        <v>99</v>
      </c>
      <c r="C103" s="8" t="s">
        <v>11</v>
      </c>
      <c r="D103" s="9"/>
      <c r="E103" s="10" t="s">
        <v>166</v>
      </c>
      <c r="F103" s="8" t="s">
        <v>31</v>
      </c>
      <c r="G103" s="8"/>
      <c r="H103" s="9"/>
      <c r="I103" s="4">
        <f t="shared" si="12"/>
        <v>0</v>
      </c>
      <c r="J103" s="4">
        <f t="shared" si="5"/>
        <v>0</v>
      </c>
      <c r="K103" s="4">
        <f t="shared" si="6"/>
        <v>0</v>
      </c>
      <c r="L103" s="4">
        <f t="shared" si="7"/>
        <v>0</v>
      </c>
      <c r="M103" s="4">
        <f t="shared" si="8"/>
        <v>0</v>
      </c>
      <c r="N103" s="4">
        <f t="shared" si="9"/>
        <v>1</v>
      </c>
      <c r="O103" s="4">
        <f t="shared" si="13"/>
        <v>0</v>
      </c>
    </row>
    <row r="104" spans="2:15" s="5" customFormat="1" x14ac:dyDescent="0.3">
      <c r="B104" s="4">
        <f t="shared" si="14"/>
        <v>100</v>
      </c>
      <c r="C104" s="8" t="s">
        <v>10</v>
      </c>
      <c r="D104" s="9"/>
      <c r="E104" s="10" t="s">
        <v>173</v>
      </c>
      <c r="F104" s="8" t="s">
        <v>31</v>
      </c>
      <c r="G104" s="8"/>
      <c r="H104" s="9"/>
      <c r="I104" s="4">
        <f t="shared" si="12"/>
        <v>0</v>
      </c>
      <c r="J104" s="4">
        <f t="shared" si="5"/>
        <v>0</v>
      </c>
      <c r="K104" s="4">
        <f t="shared" si="6"/>
        <v>0</v>
      </c>
      <c r="L104" s="4">
        <f t="shared" si="7"/>
        <v>0</v>
      </c>
      <c r="M104" s="4">
        <f t="shared" si="8"/>
        <v>1</v>
      </c>
      <c r="N104" s="4">
        <f t="shared" si="9"/>
        <v>0</v>
      </c>
      <c r="O104" s="4">
        <f t="shared" si="13"/>
        <v>0</v>
      </c>
    </row>
    <row r="105" spans="2:15" s="5" customFormat="1" ht="25.8" customHeight="1" x14ac:dyDescent="0.3">
      <c r="B105" s="4">
        <f t="shared" si="14"/>
        <v>101</v>
      </c>
      <c r="C105" s="8" t="s">
        <v>10</v>
      </c>
      <c r="D105" s="9"/>
      <c r="E105" s="10" t="s">
        <v>167</v>
      </c>
      <c r="F105" s="8" t="s">
        <v>31</v>
      </c>
      <c r="G105" s="8"/>
      <c r="H105" s="9"/>
      <c r="I105" s="4">
        <f t="shared" si="12"/>
        <v>0</v>
      </c>
      <c r="J105" s="4">
        <f t="shared" si="5"/>
        <v>0</v>
      </c>
      <c r="K105" s="4">
        <f t="shared" si="6"/>
        <v>0</v>
      </c>
      <c r="L105" s="4">
        <f t="shared" si="7"/>
        <v>0</v>
      </c>
      <c r="M105" s="4">
        <f t="shared" si="8"/>
        <v>1</v>
      </c>
      <c r="N105" s="4">
        <f t="shared" si="9"/>
        <v>0</v>
      </c>
      <c r="O105" s="4">
        <f t="shared" si="13"/>
        <v>0</v>
      </c>
    </row>
    <row r="106" spans="2:15" s="5" customFormat="1" ht="25.8" customHeight="1" x14ac:dyDescent="0.3">
      <c r="B106" s="4">
        <f t="shared" si="14"/>
        <v>102</v>
      </c>
      <c r="C106" s="8" t="s">
        <v>10</v>
      </c>
      <c r="D106" s="9"/>
      <c r="E106" s="10" t="s">
        <v>172</v>
      </c>
      <c r="F106" s="8" t="s">
        <v>31</v>
      </c>
      <c r="G106" s="8"/>
      <c r="H106" s="9"/>
      <c r="I106" s="4">
        <f t="shared" si="12"/>
        <v>0</v>
      </c>
      <c r="J106" s="4">
        <f t="shared" si="5"/>
        <v>0</v>
      </c>
      <c r="K106" s="4">
        <f t="shared" si="6"/>
        <v>0</v>
      </c>
      <c r="L106" s="4">
        <f t="shared" si="7"/>
        <v>0</v>
      </c>
      <c r="M106" s="4">
        <f t="shared" si="8"/>
        <v>1</v>
      </c>
      <c r="N106" s="4">
        <f t="shared" si="9"/>
        <v>0</v>
      </c>
      <c r="O106" s="4">
        <f t="shared" si="13"/>
        <v>0</v>
      </c>
    </row>
    <row r="107" spans="2:15" s="5" customFormat="1" x14ac:dyDescent="0.3">
      <c r="B107" s="4">
        <f t="shared" si="14"/>
        <v>103</v>
      </c>
      <c r="C107" s="8" t="s">
        <v>10</v>
      </c>
      <c r="D107" s="9"/>
      <c r="E107" s="10" t="s">
        <v>179</v>
      </c>
      <c r="F107" s="8" t="s">
        <v>31</v>
      </c>
      <c r="G107" s="8"/>
      <c r="H107" s="9"/>
      <c r="I107" s="4">
        <f t="shared" si="12"/>
        <v>0</v>
      </c>
      <c r="J107" s="4">
        <f t="shared" si="5"/>
        <v>0</v>
      </c>
      <c r="K107" s="4">
        <f t="shared" si="6"/>
        <v>0</v>
      </c>
      <c r="L107" s="4">
        <f t="shared" si="7"/>
        <v>0</v>
      </c>
      <c r="M107" s="4">
        <f t="shared" si="8"/>
        <v>1</v>
      </c>
      <c r="N107" s="4">
        <f t="shared" si="9"/>
        <v>0</v>
      </c>
      <c r="O107" s="4">
        <f t="shared" si="13"/>
        <v>0</v>
      </c>
    </row>
    <row r="108" spans="2:15" s="5" customFormat="1" ht="25.8" customHeight="1" x14ac:dyDescent="0.3">
      <c r="B108" s="4">
        <f t="shared" si="14"/>
        <v>104</v>
      </c>
      <c r="C108" s="8" t="s">
        <v>10</v>
      </c>
      <c r="D108" s="9"/>
      <c r="E108" s="10" t="s">
        <v>168</v>
      </c>
      <c r="F108" s="8" t="s">
        <v>31</v>
      </c>
      <c r="G108" s="8"/>
      <c r="H108" s="9"/>
      <c r="I108" s="4">
        <f t="shared" si="12"/>
        <v>0</v>
      </c>
      <c r="J108" s="4">
        <f t="shared" si="5"/>
        <v>0</v>
      </c>
      <c r="K108" s="4">
        <f t="shared" si="6"/>
        <v>0</v>
      </c>
      <c r="L108" s="4">
        <f t="shared" si="7"/>
        <v>0</v>
      </c>
      <c r="M108" s="4">
        <f t="shared" si="8"/>
        <v>1</v>
      </c>
      <c r="N108" s="4">
        <f t="shared" si="9"/>
        <v>0</v>
      </c>
      <c r="O108" s="4">
        <f t="shared" si="13"/>
        <v>0</v>
      </c>
    </row>
    <row r="109" spans="2:15" s="5" customFormat="1" ht="25.8" customHeight="1" x14ac:dyDescent="0.3">
      <c r="B109" s="4">
        <f t="shared" si="14"/>
        <v>105</v>
      </c>
      <c r="C109" s="8" t="s">
        <v>10</v>
      </c>
      <c r="D109" s="9"/>
      <c r="E109" s="10" t="s">
        <v>169</v>
      </c>
      <c r="F109" s="8" t="s">
        <v>31</v>
      </c>
      <c r="G109" s="8"/>
      <c r="H109" s="9"/>
      <c r="I109" s="4">
        <f t="shared" si="12"/>
        <v>0</v>
      </c>
      <c r="J109" s="4">
        <f t="shared" si="5"/>
        <v>0</v>
      </c>
      <c r="K109" s="4">
        <f t="shared" si="6"/>
        <v>0</v>
      </c>
      <c r="L109" s="4">
        <f t="shared" si="7"/>
        <v>0</v>
      </c>
      <c r="M109" s="4">
        <f t="shared" si="8"/>
        <v>1</v>
      </c>
      <c r="N109" s="4">
        <f t="shared" si="9"/>
        <v>0</v>
      </c>
      <c r="O109" s="4">
        <f t="shared" si="13"/>
        <v>0</v>
      </c>
    </row>
    <row r="110" spans="2:15" s="5" customFormat="1" ht="25.8" customHeight="1" x14ac:dyDescent="0.3">
      <c r="B110" s="4">
        <f t="shared" si="14"/>
        <v>106</v>
      </c>
      <c r="C110" s="8" t="s">
        <v>11</v>
      </c>
      <c r="D110" s="9"/>
      <c r="E110" s="10" t="s">
        <v>187</v>
      </c>
      <c r="F110" s="8" t="s">
        <v>31</v>
      </c>
      <c r="G110" s="8"/>
      <c r="H110" s="9"/>
      <c r="I110" s="4">
        <f t="shared" si="12"/>
        <v>0</v>
      </c>
      <c r="J110" s="4">
        <f t="shared" si="5"/>
        <v>0</v>
      </c>
      <c r="K110" s="4">
        <f t="shared" si="6"/>
        <v>0</v>
      </c>
      <c r="L110" s="4">
        <f t="shared" si="7"/>
        <v>0</v>
      </c>
      <c r="M110" s="4">
        <f t="shared" si="8"/>
        <v>0</v>
      </c>
      <c r="N110" s="4">
        <f t="shared" si="9"/>
        <v>1</v>
      </c>
      <c r="O110" s="4">
        <f t="shared" si="13"/>
        <v>0</v>
      </c>
    </row>
    <row r="111" spans="2:15" s="5" customFormat="1" ht="25.8" customHeight="1" x14ac:dyDescent="0.3">
      <c r="B111" s="4">
        <f t="shared" si="14"/>
        <v>107</v>
      </c>
      <c r="C111" s="8" t="s">
        <v>10</v>
      </c>
      <c r="D111" s="9"/>
      <c r="E111" s="10" t="s">
        <v>171</v>
      </c>
      <c r="F111" s="8" t="s">
        <v>31</v>
      </c>
      <c r="G111" s="8"/>
      <c r="H111" s="9"/>
      <c r="I111" s="4">
        <f t="shared" si="12"/>
        <v>0</v>
      </c>
      <c r="J111" s="4">
        <f t="shared" si="5"/>
        <v>0</v>
      </c>
      <c r="K111" s="4">
        <f t="shared" si="6"/>
        <v>0</v>
      </c>
      <c r="L111" s="4">
        <f t="shared" si="7"/>
        <v>0</v>
      </c>
      <c r="M111" s="4">
        <f t="shared" si="8"/>
        <v>1</v>
      </c>
      <c r="N111" s="4">
        <f t="shared" si="9"/>
        <v>0</v>
      </c>
      <c r="O111" s="4">
        <f t="shared" si="13"/>
        <v>0</v>
      </c>
    </row>
    <row r="112" spans="2:15" s="5" customFormat="1" ht="25.8" customHeight="1" x14ac:dyDescent="0.3">
      <c r="B112" s="4">
        <f t="shared" si="14"/>
        <v>108</v>
      </c>
      <c r="C112" s="8" t="s">
        <v>10</v>
      </c>
      <c r="D112" s="9"/>
      <c r="E112" s="10" t="s">
        <v>170</v>
      </c>
      <c r="F112" s="8" t="s">
        <v>31</v>
      </c>
      <c r="G112" s="8"/>
      <c r="H112" s="9"/>
      <c r="I112" s="4">
        <f t="shared" si="12"/>
        <v>0</v>
      </c>
      <c r="J112" s="4">
        <f t="shared" si="5"/>
        <v>0</v>
      </c>
      <c r="K112" s="4">
        <f t="shared" si="6"/>
        <v>0</v>
      </c>
      <c r="L112" s="4">
        <f t="shared" si="7"/>
        <v>0</v>
      </c>
      <c r="M112" s="4">
        <f t="shared" si="8"/>
        <v>1</v>
      </c>
      <c r="N112" s="4">
        <f t="shared" si="9"/>
        <v>0</v>
      </c>
      <c r="O112" s="4">
        <f t="shared" si="13"/>
        <v>0</v>
      </c>
    </row>
    <row r="113" spans="2:15" s="5" customFormat="1" ht="25.8" customHeight="1" x14ac:dyDescent="0.3">
      <c r="B113" s="4">
        <f t="shared" si="14"/>
        <v>109</v>
      </c>
      <c r="C113" s="8" t="s">
        <v>11</v>
      </c>
      <c r="D113" s="9"/>
      <c r="E113" s="10" t="s">
        <v>188</v>
      </c>
      <c r="F113" s="8" t="s">
        <v>31</v>
      </c>
      <c r="G113" s="8"/>
      <c r="H113" s="9"/>
      <c r="I113" s="4">
        <f t="shared" si="12"/>
        <v>0</v>
      </c>
      <c r="J113" s="4">
        <f t="shared" si="5"/>
        <v>0</v>
      </c>
      <c r="K113" s="4">
        <f t="shared" si="6"/>
        <v>0</v>
      </c>
      <c r="L113" s="4">
        <f t="shared" si="7"/>
        <v>0</v>
      </c>
      <c r="M113" s="4">
        <f t="shared" si="8"/>
        <v>0</v>
      </c>
      <c r="N113" s="4">
        <f t="shared" si="9"/>
        <v>1</v>
      </c>
      <c r="O113" s="4">
        <f t="shared" si="13"/>
        <v>0</v>
      </c>
    </row>
    <row r="114" spans="2:15" s="5" customFormat="1" ht="25.8" customHeight="1" x14ac:dyDescent="0.3">
      <c r="B114" s="4">
        <f t="shared" si="14"/>
        <v>110</v>
      </c>
      <c r="C114" s="8" t="s">
        <v>10</v>
      </c>
      <c r="D114" s="9"/>
      <c r="E114" s="10" t="s">
        <v>189</v>
      </c>
      <c r="F114" s="8" t="s">
        <v>31</v>
      </c>
      <c r="G114" s="8"/>
      <c r="H114" s="9"/>
      <c r="I114" s="4">
        <f t="shared" si="12"/>
        <v>0</v>
      </c>
      <c r="J114" s="4">
        <f t="shared" si="5"/>
        <v>0</v>
      </c>
      <c r="K114" s="4">
        <f t="shared" si="6"/>
        <v>0</v>
      </c>
      <c r="L114" s="4">
        <f t="shared" si="7"/>
        <v>0</v>
      </c>
      <c r="M114" s="4">
        <f t="shared" si="8"/>
        <v>1</v>
      </c>
      <c r="N114" s="4">
        <f t="shared" si="9"/>
        <v>0</v>
      </c>
      <c r="O114" s="4">
        <f t="shared" si="13"/>
        <v>0</v>
      </c>
    </row>
    <row r="115" spans="2:15" s="5" customFormat="1" ht="25.8" customHeight="1" x14ac:dyDescent="0.3">
      <c r="B115" s="4">
        <f t="shared" si="14"/>
        <v>111</v>
      </c>
      <c r="C115" s="8" t="s">
        <v>10</v>
      </c>
      <c r="D115" s="9"/>
      <c r="E115" s="10" t="s">
        <v>190</v>
      </c>
      <c r="F115" s="8" t="s">
        <v>31</v>
      </c>
      <c r="G115" s="8"/>
      <c r="H115" s="9"/>
      <c r="I115" s="4">
        <f t="shared" si="12"/>
        <v>0</v>
      </c>
      <c r="J115" s="4">
        <f t="shared" si="5"/>
        <v>0</v>
      </c>
      <c r="K115" s="4">
        <f t="shared" si="6"/>
        <v>0</v>
      </c>
      <c r="L115" s="4">
        <f t="shared" si="7"/>
        <v>0</v>
      </c>
      <c r="M115" s="4">
        <f t="shared" si="8"/>
        <v>1</v>
      </c>
      <c r="N115" s="4">
        <f t="shared" si="9"/>
        <v>0</v>
      </c>
      <c r="O115" s="4">
        <f t="shared" si="13"/>
        <v>0</v>
      </c>
    </row>
    <row r="116" spans="2:15" s="5" customFormat="1" ht="25.8" customHeight="1" x14ac:dyDescent="0.3">
      <c r="B116" s="4">
        <f t="shared" si="14"/>
        <v>112</v>
      </c>
      <c r="C116" s="8" t="s">
        <v>10</v>
      </c>
      <c r="D116" s="9"/>
      <c r="E116" s="10" t="s">
        <v>191</v>
      </c>
      <c r="F116" s="8" t="s">
        <v>31</v>
      </c>
      <c r="G116" s="8"/>
      <c r="H116" s="9"/>
      <c r="I116" s="4">
        <f t="shared" si="12"/>
        <v>0</v>
      </c>
      <c r="J116" s="4">
        <f t="shared" si="5"/>
        <v>0</v>
      </c>
      <c r="K116" s="4">
        <f t="shared" si="6"/>
        <v>0</v>
      </c>
      <c r="L116" s="4">
        <f t="shared" si="7"/>
        <v>0</v>
      </c>
      <c r="M116" s="4">
        <f t="shared" si="8"/>
        <v>1</v>
      </c>
      <c r="N116" s="4">
        <f t="shared" si="9"/>
        <v>0</v>
      </c>
      <c r="O116" s="4">
        <f t="shared" si="13"/>
        <v>0</v>
      </c>
    </row>
    <row r="117" spans="2:15" s="5" customFormat="1" ht="25.8" customHeight="1" x14ac:dyDescent="0.3">
      <c r="B117" s="4">
        <f t="shared" si="14"/>
        <v>113</v>
      </c>
      <c r="C117" s="8" t="s">
        <v>10</v>
      </c>
      <c r="D117" s="9"/>
      <c r="E117" s="10" t="s">
        <v>192</v>
      </c>
      <c r="F117" s="8" t="s">
        <v>31</v>
      </c>
      <c r="G117" s="8"/>
      <c r="H117" s="9"/>
      <c r="I117" s="4">
        <f t="shared" si="12"/>
        <v>0</v>
      </c>
      <c r="J117" s="4">
        <f t="shared" si="5"/>
        <v>0</v>
      </c>
      <c r="K117" s="4">
        <f t="shared" si="6"/>
        <v>0</v>
      </c>
      <c r="L117" s="4">
        <f t="shared" si="7"/>
        <v>0</v>
      </c>
      <c r="M117" s="4">
        <f t="shared" si="8"/>
        <v>1</v>
      </c>
      <c r="N117" s="4">
        <f t="shared" si="9"/>
        <v>0</v>
      </c>
      <c r="O117" s="4">
        <f t="shared" si="13"/>
        <v>0</v>
      </c>
    </row>
    <row r="118" spans="2:15" s="5" customFormat="1" ht="25.8" customHeight="1" x14ac:dyDescent="0.3">
      <c r="B118" s="4">
        <f t="shared" si="14"/>
        <v>114</v>
      </c>
      <c r="C118" s="8" t="s">
        <v>10</v>
      </c>
      <c r="D118" s="9"/>
      <c r="E118" s="10" t="s">
        <v>193</v>
      </c>
      <c r="F118" s="8" t="s">
        <v>31</v>
      </c>
      <c r="G118" s="8"/>
      <c r="H118" s="9"/>
      <c r="I118" s="4">
        <f t="shared" si="12"/>
        <v>0</v>
      </c>
      <c r="J118" s="4">
        <f t="shared" si="5"/>
        <v>0</v>
      </c>
      <c r="K118" s="4">
        <f t="shared" si="6"/>
        <v>0</v>
      </c>
      <c r="L118" s="4">
        <f t="shared" si="7"/>
        <v>0</v>
      </c>
      <c r="M118" s="4">
        <f t="shared" si="8"/>
        <v>1</v>
      </c>
      <c r="N118" s="4">
        <f t="shared" si="9"/>
        <v>0</v>
      </c>
      <c r="O118" s="4">
        <f t="shared" si="13"/>
        <v>0</v>
      </c>
    </row>
    <row r="119" spans="2:15" s="5" customFormat="1" ht="25.8" customHeight="1" x14ac:dyDescent="0.3">
      <c r="B119" s="4">
        <f t="shared" si="14"/>
        <v>115</v>
      </c>
      <c r="C119" s="8" t="s">
        <v>10</v>
      </c>
      <c r="D119" s="9"/>
      <c r="E119" s="10" t="s">
        <v>194</v>
      </c>
      <c r="F119" s="8" t="s">
        <v>31</v>
      </c>
      <c r="G119" s="8"/>
      <c r="H119" s="9"/>
      <c r="I119" s="4">
        <f t="shared" si="12"/>
        <v>0</v>
      </c>
      <c r="J119" s="4">
        <f t="shared" si="5"/>
        <v>0</v>
      </c>
      <c r="K119" s="4">
        <f t="shared" si="6"/>
        <v>0</v>
      </c>
      <c r="L119" s="4">
        <f t="shared" si="7"/>
        <v>0</v>
      </c>
      <c r="M119" s="4">
        <f t="shared" si="8"/>
        <v>1</v>
      </c>
      <c r="N119" s="4">
        <f t="shared" si="9"/>
        <v>0</v>
      </c>
      <c r="O119" s="4">
        <f t="shared" si="13"/>
        <v>0</v>
      </c>
    </row>
    <row r="120" spans="2:15" s="5" customFormat="1" ht="25.8" customHeight="1" x14ac:dyDescent="0.3">
      <c r="B120" s="4">
        <f t="shared" si="14"/>
        <v>116</v>
      </c>
      <c r="C120" s="8" t="s">
        <v>10</v>
      </c>
      <c r="D120" s="9"/>
      <c r="E120" s="10" t="s">
        <v>195</v>
      </c>
      <c r="F120" s="8" t="s">
        <v>31</v>
      </c>
      <c r="G120" s="8"/>
      <c r="H120" s="9"/>
      <c r="I120" s="4">
        <f t="shared" si="12"/>
        <v>0</v>
      </c>
      <c r="J120" s="4">
        <f t="shared" si="5"/>
        <v>0</v>
      </c>
      <c r="K120" s="4">
        <f t="shared" si="6"/>
        <v>0</v>
      </c>
      <c r="L120" s="4">
        <f t="shared" si="7"/>
        <v>0</v>
      </c>
      <c r="M120" s="4">
        <f t="shared" si="8"/>
        <v>1</v>
      </c>
      <c r="N120" s="4">
        <f t="shared" si="9"/>
        <v>0</v>
      </c>
      <c r="O120" s="4">
        <f t="shared" si="13"/>
        <v>0</v>
      </c>
    </row>
    <row r="121" spans="2:15" s="5" customFormat="1" ht="25.8" customHeight="1" x14ac:dyDescent="0.3">
      <c r="B121" s="4">
        <f t="shared" si="14"/>
        <v>117</v>
      </c>
      <c r="C121" s="8" t="s">
        <v>10</v>
      </c>
      <c r="D121" s="9"/>
      <c r="E121" s="10" t="s">
        <v>196</v>
      </c>
      <c r="F121" s="8" t="s">
        <v>31</v>
      </c>
      <c r="G121" s="8"/>
      <c r="H121" s="9"/>
      <c r="I121" s="4">
        <f t="shared" si="12"/>
        <v>0</v>
      </c>
      <c r="J121" s="4">
        <f t="shared" si="5"/>
        <v>0</v>
      </c>
      <c r="K121" s="4">
        <f t="shared" si="6"/>
        <v>0</v>
      </c>
      <c r="L121" s="4">
        <f t="shared" si="7"/>
        <v>0</v>
      </c>
      <c r="M121" s="4">
        <f t="shared" si="8"/>
        <v>1</v>
      </c>
      <c r="N121" s="4">
        <f t="shared" si="9"/>
        <v>0</v>
      </c>
      <c r="O121" s="4">
        <f t="shared" si="13"/>
        <v>0</v>
      </c>
    </row>
    <row r="122" spans="2:15" s="5" customFormat="1" ht="25.8" customHeight="1" x14ac:dyDescent="0.3">
      <c r="B122" s="4" t="str">
        <f t="shared" si="14"/>
        <v/>
      </c>
      <c r="C122" s="8"/>
      <c r="D122" s="9"/>
      <c r="E122" s="10"/>
      <c r="F122" s="8" t="s">
        <v>31</v>
      </c>
      <c r="G122" s="8"/>
      <c r="H122" s="9"/>
      <c r="I122" s="4">
        <f t="shared" si="12"/>
        <v>0</v>
      </c>
      <c r="J122" s="4">
        <f t="shared" si="5"/>
        <v>0</v>
      </c>
      <c r="K122" s="4">
        <f t="shared" si="6"/>
        <v>0</v>
      </c>
      <c r="L122" s="4">
        <f t="shared" si="7"/>
        <v>0</v>
      </c>
      <c r="M122" s="4">
        <f t="shared" si="8"/>
        <v>0</v>
      </c>
      <c r="N122" s="4">
        <f t="shared" si="9"/>
        <v>0</v>
      </c>
      <c r="O122" s="4">
        <f t="shared" si="13"/>
        <v>0</v>
      </c>
    </row>
    <row r="123" spans="2:15" s="5" customFormat="1" ht="25.8" customHeight="1" x14ac:dyDescent="0.3">
      <c r="B123" s="4" t="str">
        <f t="shared" si="14"/>
        <v/>
      </c>
      <c r="C123" s="8"/>
      <c r="D123" s="9"/>
      <c r="E123" s="10"/>
      <c r="F123" s="8" t="s">
        <v>31</v>
      </c>
      <c r="G123" s="8"/>
      <c r="H123" s="9"/>
      <c r="I123" s="4">
        <f t="shared" si="12"/>
        <v>0</v>
      </c>
      <c r="J123" s="4">
        <f t="shared" si="5"/>
        <v>0</v>
      </c>
      <c r="K123" s="4">
        <f t="shared" si="6"/>
        <v>0</v>
      </c>
      <c r="L123" s="4">
        <f t="shared" si="7"/>
        <v>0</v>
      </c>
      <c r="M123" s="4">
        <f t="shared" si="8"/>
        <v>0</v>
      </c>
      <c r="N123" s="4">
        <f t="shared" si="9"/>
        <v>0</v>
      </c>
      <c r="O123" s="4">
        <f t="shared" si="13"/>
        <v>0</v>
      </c>
    </row>
    <row r="124" spans="2:15" s="5" customFormat="1" ht="25.8" customHeight="1" x14ac:dyDescent="0.3">
      <c r="B124" s="4" t="str">
        <f t="shared" si="14"/>
        <v/>
      </c>
      <c r="C124" s="8"/>
      <c r="D124" s="9"/>
      <c r="E124" s="10"/>
      <c r="F124" s="8" t="s">
        <v>31</v>
      </c>
      <c r="G124" s="8"/>
      <c r="H124" s="9"/>
      <c r="I124" s="4">
        <f t="shared" si="12"/>
        <v>0</v>
      </c>
      <c r="J124" s="4">
        <f t="shared" si="5"/>
        <v>0</v>
      </c>
      <c r="K124" s="4">
        <f t="shared" si="6"/>
        <v>0</v>
      </c>
      <c r="L124" s="4">
        <f t="shared" si="7"/>
        <v>0</v>
      </c>
      <c r="M124" s="4">
        <f t="shared" si="8"/>
        <v>0</v>
      </c>
      <c r="N124" s="4">
        <f t="shared" si="9"/>
        <v>0</v>
      </c>
      <c r="O124" s="4">
        <f t="shared" si="13"/>
        <v>0</v>
      </c>
    </row>
    <row r="125" spans="2:15" s="5" customFormat="1" ht="25.8" customHeight="1" x14ac:dyDescent="0.3">
      <c r="B125" s="4" t="str">
        <f t="shared" si="14"/>
        <v/>
      </c>
      <c r="C125" s="8"/>
      <c r="D125" s="9"/>
      <c r="E125" s="10"/>
      <c r="F125" s="8" t="s">
        <v>31</v>
      </c>
      <c r="G125" s="8"/>
      <c r="H125" s="9"/>
      <c r="I125" s="4">
        <f t="shared" si="12"/>
        <v>0</v>
      </c>
      <c r="J125" s="4">
        <f t="shared" si="5"/>
        <v>0</v>
      </c>
      <c r="K125" s="4">
        <f t="shared" si="6"/>
        <v>0</v>
      </c>
      <c r="L125" s="4">
        <f t="shared" si="7"/>
        <v>0</v>
      </c>
      <c r="M125" s="4">
        <f t="shared" si="8"/>
        <v>0</v>
      </c>
      <c r="N125" s="4">
        <f t="shared" si="9"/>
        <v>0</v>
      </c>
      <c r="O125" s="4">
        <f t="shared" si="13"/>
        <v>0</v>
      </c>
    </row>
    <row r="126" spans="2:15" s="5" customFormat="1" ht="25.8" customHeight="1" x14ac:dyDescent="0.3">
      <c r="B126" s="4" t="str">
        <f t="shared" si="14"/>
        <v/>
      </c>
      <c r="C126" s="8"/>
      <c r="D126" s="9"/>
      <c r="E126" s="10"/>
      <c r="F126" s="8" t="s">
        <v>31</v>
      </c>
      <c r="G126" s="8"/>
      <c r="H126" s="9"/>
      <c r="I126" s="4">
        <f t="shared" si="12"/>
        <v>0</v>
      </c>
      <c r="J126" s="4">
        <f t="shared" si="5"/>
        <v>0</v>
      </c>
      <c r="K126" s="4">
        <f t="shared" si="6"/>
        <v>0</v>
      </c>
      <c r="L126" s="4">
        <f t="shared" si="7"/>
        <v>0</v>
      </c>
      <c r="M126" s="4">
        <f t="shared" si="8"/>
        <v>0</v>
      </c>
      <c r="N126" s="4">
        <f t="shared" si="9"/>
        <v>0</v>
      </c>
      <c r="O126" s="4">
        <f t="shared" si="13"/>
        <v>0</v>
      </c>
    </row>
    <row r="127" spans="2:15" s="5" customFormat="1" ht="25.8" customHeight="1" x14ac:dyDescent="0.3">
      <c r="B127" s="4" t="str">
        <f t="shared" si="14"/>
        <v/>
      </c>
      <c r="C127" s="8"/>
      <c r="D127" s="9"/>
      <c r="E127" s="10"/>
      <c r="F127" s="8" t="s">
        <v>31</v>
      </c>
      <c r="G127" s="8"/>
      <c r="H127" s="9"/>
      <c r="I127" s="4">
        <f t="shared" si="12"/>
        <v>0</v>
      </c>
      <c r="J127" s="4">
        <f t="shared" si="5"/>
        <v>0</v>
      </c>
      <c r="K127" s="4">
        <f t="shared" si="6"/>
        <v>0</v>
      </c>
      <c r="L127" s="4">
        <f t="shared" si="7"/>
        <v>0</v>
      </c>
      <c r="M127" s="4">
        <f t="shared" si="8"/>
        <v>0</v>
      </c>
      <c r="N127" s="4">
        <f t="shared" si="9"/>
        <v>0</v>
      </c>
      <c r="O127" s="4">
        <f t="shared" si="13"/>
        <v>0</v>
      </c>
    </row>
    <row r="128" spans="2:15" s="5" customFormat="1" ht="25.8" customHeight="1" x14ac:dyDescent="0.3">
      <c r="B128" s="4" t="str">
        <f t="shared" si="14"/>
        <v/>
      </c>
      <c r="C128" s="8"/>
      <c r="D128" s="9"/>
      <c r="E128" s="10"/>
      <c r="F128" s="8" t="s">
        <v>31</v>
      </c>
      <c r="G128" s="8"/>
      <c r="H128" s="9"/>
      <c r="I128" s="4">
        <f t="shared" si="12"/>
        <v>0</v>
      </c>
      <c r="J128" s="4">
        <f t="shared" si="5"/>
        <v>0</v>
      </c>
      <c r="K128" s="4">
        <f t="shared" si="6"/>
        <v>0</v>
      </c>
      <c r="L128" s="4">
        <f t="shared" si="7"/>
        <v>0</v>
      </c>
      <c r="M128" s="4">
        <f t="shared" si="8"/>
        <v>0</v>
      </c>
      <c r="N128" s="4">
        <f t="shared" si="9"/>
        <v>0</v>
      </c>
      <c r="O128" s="4">
        <f t="shared" si="13"/>
        <v>0</v>
      </c>
    </row>
    <row r="129" spans="2:15" s="5" customFormat="1" ht="25.8" customHeight="1" x14ac:dyDescent="0.3">
      <c r="B129" s="4" t="str">
        <f t="shared" si="14"/>
        <v/>
      </c>
      <c r="C129" s="8"/>
      <c r="D129" s="9"/>
      <c r="E129" s="10"/>
      <c r="F129" s="8" t="s">
        <v>31</v>
      </c>
      <c r="G129" s="8"/>
      <c r="H129" s="9"/>
      <c r="I129" s="4">
        <f t="shared" si="12"/>
        <v>0</v>
      </c>
      <c r="J129" s="4">
        <f t="shared" si="5"/>
        <v>0</v>
      </c>
      <c r="K129" s="4">
        <f t="shared" si="6"/>
        <v>0</v>
      </c>
      <c r="L129" s="4">
        <f t="shared" si="7"/>
        <v>0</v>
      </c>
      <c r="M129" s="4">
        <f t="shared" si="8"/>
        <v>0</v>
      </c>
      <c r="N129" s="4">
        <f t="shared" si="9"/>
        <v>0</v>
      </c>
      <c r="O129" s="4">
        <f t="shared" si="13"/>
        <v>0</v>
      </c>
    </row>
    <row r="130" spans="2:15" s="5" customFormat="1" ht="25.8" customHeight="1" x14ac:dyDescent="0.3">
      <c r="B130" s="4" t="str">
        <f t="shared" si="14"/>
        <v/>
      </c>
      <c r="C130" s="8"/>
      <c r="D130" s="9"/>
      <c r="E130" s="10"/>
      <c r="F130" s="8" t="s">
        <v>31</v>
      </c>
      <c r="G130" s="8"/>
      <c r="H130" s="9"/>
      <c r="I130" s="4">
        <f t="shared" si="12"/>
        <v>0</v>
      </c>
      <c r="J130" s="4">
        <f t="shared" si="5"/>
        <v>0</v>
      </c>
      <c r="K130" s="4">
        <f t="shared" si="6"/>
        <v>0</v>
      </c>
      <c r="L130" s="4">
        <f t="shared" si="7"/>
        <v>0</v>
      </c>
      <c r="M130" s="4">
        <f t="shared" si="8"/>
        <v>0</v>
      </c>
      <c r="N130" s="4">
        <f t="shared" si="9"/>
        <v>0</v>
      </c>
      <c r="O130" s="4">
        <f t="shared" si="13"/>
        <v>0</v>
      </c>
    </row>
    <row r="131" spans="2:15" s="5" customFormat="1" ht="25.8" customHeight="1" x14ac:dyDescent="0.3">
      <c r="B131" s="4" t="str">
        <f t="shared" si="14"/>
        <v/>
      </c>
      <c r="C131" s="8"/>
      <c r="D131" s="9"/>
      <c r="E131" s="10"/>
      <c r="F131" s="8" t="s">
        <v>31</v>
      </c>
      <c r="G131" s="8"/>
      <c r="H131" s="9"/>
      <c r="I131" s="4">
        <f t="shared" si="12"/>
        <v>0</v>
      </c>
      <c r="J131" s="4">
        <f t="shared" si="5"/>
        <v>0</v>
      </c>
      <c r="K131" s="4">
        <f t="shared" si="6"/>
        <v>0</v>
      </c>
      <c r="L131" s="4">
        <f t="shared" si="7"/>
        <v>0</v>
      </c>
      <c r="M131" s="4">
        <f t="shared" si="8"/>
        <v>0</v>
      </c>
      <c r="N131" s="4">
        <f t="shared" si="9"/>
        <v>0</v>
      </c>
      <c r="O131" s="4">
        <f t="shared" si="13"/>
        <v>0</v>
      </c>
    </row>
    <row r="132" spans="2:15" s="5" customFormat="1" ht="25.8" customHeight="1" x14ac:dyDescent="0.3">
      <c r="B132" s="4" t="str">
        <f t="shared" si="14"/>
        <v/>
      </c>
      <c r="C132" s="8"/>
      <c r="D132" s="9"/>
      <c r="E132" s="10"/>
      <c r="F132" s="8" t="s">
        <v>31</v>
      </c>
      <c r="G132" s="8"/>
      <c r="H132" s="9"/>
      <c r="I132" s="4">
        <f t="shared" si="12"/>
        <v>0</v>
      </c>
      <c r="J132" s="4">
        <f t="shared" si="5"/>
        <v>0</v>
      </c>
      <c r="K132" s="4">
        <f t="shared" si="6"/>
        <v>0</v>
      </c>
      <c r="L132" s="4">
        <f t="shared" si="7"/>
        <v>0</v>
      </c>
      <c r="M132" s="4">
        <f t="shared" si="8"/>
        <v>0</v>
      </c>
      <c r="N132" s="4">
        <f t="shared" si="9"/>
        <v>0</v>
      </c>
      <c r="O132" s="4">
        <f t="shared" si="13"/>
        <v>0</v>
      </c>
    </row>
    <row r="133" spans="2:15" s="5" customFormat="1" ht="25.8" customHeight="1" x14ac:dyDescent="0.3">
      <c r="B133" s="4" t="str">
        <f t="shared" si="14"/>
        <v/>
      </c>
      <c r="C133" s="8"/>
      <c r="D133" s="9"/>
      <c r="E133" s="10"/>
      <c r="F133" s="8" t="s">
        <v>31</v>
      </c>
      <c r="G133" s="8"/>
      <c r="H133" s="9"/>
      <c r="I133" s="4">
        <f t="shared" si="12"/>
        <v>0</v>
      </c>
      <c r="J133" s="4">
        <f t="shared" si="5"/>
        <v>0</v>
      </c>
      <c r="K133" s="4">
        <f t="shared" si="6"/>
        <v>0</v>
      </c>
      <c r="L133" s="4">
        <f t="shared" si="7"/>
        <v>0</v>
      </c>
      <c r="M133" s="4">
        <f t="shared" si="8"/>
        <v>0</v>
      </c>
      <c r="N133" s="4">
        <f t="shared" si="9"/>
        <v>0</v>
      </c>
      <c r="O133" s="4">
        <f t="shared" si="13"/>
        <v>0</v>
      </c>
    </row>
    <row r="134" spans="2:15" s="5" customFormat="1" ht="25.8" customHeight="1" x14ac:dyDescent="0.3">
      <c r="B134" s="4" t="str">
        <f t="shared" si="14"/>
        <v/>
      </c>
      <c r="C134" s="8"/>
      <c r="D134" s="9"/>
      <c r="E134" s="10"/>
      <c r="F134" s="8" t="s">
        <v>31</v>
      </c>
      <c r="G134" s="8"/>
      <c r="H134" s="9"/>
      <c r="I134" s="4">
        <f t="shared" ref="I134:I148" si="15">IF($G134="Легкая",1,0)-O134</f>
        <v>0</v>
      </c>
      <c r="J134" s="4">
        <f t="shared" si="5"/>
        <v>0</v>
      </c>
      <c r="K134" s="4">
        <f t="shared" si="6"/>
        <v>0</v>
      </c>
      <c r="L134" s="4">
        <f t="shared" si="7"/>
        <v>0</v>
      </c>
      <c r="M134" s="4">
        <f t="shared" si="8"/>
        <v>0</v>
      </c>
      <c r="N134" s="4">
        <f t="shared" si="9"/>
        <v>0</v>
      </c>
      <c r="O134" s="4">
        <f t="shared" ref="O134:O148" si="16">IF(H134&gt;0,1,0)</f>
        <v>0</v>
      </c>
    </row>
    <row r="135" spans="2:15" s="5" customFormat="1" ht="25.8" customHeight="1" x14ac:dyDescent="0.3">
      <c r="B135" s="4" t="str">
        <f t="shared" ref="B135:B148" si="17">IF(E135&gt;0,1+B134,"")</f>
        <v/>
      </c>
      <c r="C135" s="8"/>
      <c r="D135" s="9"/>
      <c r="E135" s="10"/>
      <c r="F135" s="8" t="s">
        <v>31</v>
      </c>
      <c r="G135" s="8"/>
      <c r="H135" s="9"/>
      <c r="I135" s="4">
        <f t="shared" si="15"/>
        <v>0</v>
      </c>
      <c r="J135" s="4">
        <f t="shared" si="5"/>
        <v>0</v>
      </c>
      <c r="K135" s="4">
        <f t="shared" si="6"/>
        <v>0</v>
      </c>
      <c r="L135" s="4">
        <f t="shared" si="7"/>
        <v>0</v>
      </c>
      <c r="M135" s="4">
        <f t="shared" si="8"/>
        <v>0</v>
      </c>
      <c r="N135" s="4">
        <f t="shared" si="9"/>
        <v>0</v>
      </c>
      <c r="O135" s="4">
        <f t="shared" si="16"/>
        <v>0</v>
      </c>
    </row>
    <row r="136" spans="2:15" s="5" customFormat="1" ht="25.8" customHeight="1" x14ac:dyDescent="0.3">
      <c r="B136" s="4" t="str">
        <f t="shared" si="17"/>
        <v/>
      </c>
      <c r="C136" s="8"/>
      <c r="D136" s="9"/>
      <c r="E136" s="10"/>
      <c r="F136" s="8" t="s">
        <v>31</v>
      </c>
      <c r="G136" s="8"/>
      <c r="H136" s="9"/>
      <c r="I136" s="4">
        <f t="shared" si="15"/>
        <v>0</v>
      </c>
      <c r="J136" s="4">
        <f t="shared" si="5"/>
        <v>0</v>
      </c>
      <c r="K136" s="4">
        <f t="shared" si="6"/>
        <v>0</v>
      </c>
      <c r="L136" s="4">
        <f t="shared" si="7"/>
        <v>0</v>
      </c>
      <c r="M136" s="4">
        <f t="shared" si="8"/>
        <v>0</v>
      </c>
      <c r="N136" s="4">
        <f t="shared" si="9"/>
        <v>0</v>
      </c>
      <c r="O136" s="4">
        <f t="shared" si="16"/>
        <v>0</v>
      </c>
    </row>
    <row r="137" spans="2:15" s="5" customFormat="1" ht="25.8" customHeight="1" x14ac:dyDescent="0.3">
      <c r="B137" s="4" t="str">
        <f t="shared" si="17"/>
        <v/>
      </c>
      <c r="C137" s="8"/>
      <c r="D137" s="9"/>
      <c r="E137" s="10"/>
      <c r="F137" s="8" t="s">
        <v>31</v>
      </c>
      <c r="G137" s="8"/>
      <c r="H137" s="9"/>
      <c r="I137" s="4">
        <f t="shared" si="15"/>
        <v>0</v>
      </c>
      <c r="J137" s="4">
        <f t="shared" si="5"/>
        <v>0</v>
      </c>
      <c r="K137" s="4">
        <f t="shared" si="6"/>
        <v>0</v>
      </c>
      <c r="L137" s="4">
        <f t="shared" si="7"/>
        <v>0</v>
      </c>
      <c r="M137" s="4">
        <f t="shared" si="8"/>
        <v>0</v>
      </c>
      <c r="N137" s="4">
        <f t="shared" si="9"/>
        <v>0</v>
      </c>
      <c r="O137" s="4">
        <f t="shared" si="16"/>
        <v>0</v>
      </c>
    </row>
    <row r="138" spans="2:15" s="5" customFormat="1" ht="25.8" customHeight="1" x14ac:dyDescent="0.3">
      <c r="B138" s="4" t="str">
        <f t="shared" si="17"/>
        <v/>
      </c>
      <c r="C138" s="8"/>
      <c r="D138" s="9"/>
      <c r="E138" s="10"/>
      <c r="F138" s="8" t="s">
        <v>31</v>
      </c>
      <c r="G138" s="8"/>
      <c r="H138" s="9"/>
      <c r="I138" s="4">
        <f t="shared" si="15"/>
        <v>0</v>
      </c>
      <c r="J138" s="4">
        <f t="shared" si="5"/>
        <v>0</v>
      </c>
      <c r="K138" s="4">
        <f t="shared" si="6"/>
        <v>0</v>
      </c>
      <c r="L138" s="4">
        <f t="shared" si="7"/>
        <v>0</v>
      </c>
      <c r="M138" s="4">
        <f t="shared" si="8"/>
        <v>0</v>
      </c>
      <c r="N138" s="4">
        <f t="shared" si="9"/>
        <v>0</v>
      </c>
      <c r="O138" s="4">
        <f t="shared" si="16"/>
        <v>0</v>
      </c>
    </row>
    <row r="139" spans="2:15" s="5" customFormat="1" ht="25.8" customHeight="1" x14ac:dyDescent="0.3">
      <c r="B139" s="4" t="str">
        <f t="shared" si="17"/>
        <v/>
      </c>
      <c r="C139" s="8"/>
      <c r="D139" s="9"/>
      <c r="E139" s="10"/>
      <c r="F139" s="8" t="s">
        <v>31</v>
      </c>
      <c r="G139" s="8"/>
      <c r="H139" s="9"/>
      <c r="I139" s="4">
        <f t="shared" si="15"/>
        <v>0</v>
      </c>
      <c r="J139" s="4">
        <f t="shared" si="5"/>
        <v>0</v>
      </c>
      <c r="K139" s="4">
        <f t="shared" si="6"/>
        <v>0</v>
      </c>
      <c r="L139" s="4">
        <f t="shared" si="7"/>
        <v>0</v>
      </c>
      <c r="M139" s="4">
        <f t="shared" si="8"/>
        <v>0</v>
      </c>
      <c r="N139" s="4">
        <f t="shared" si="9"/>
        <v>0</v>
      </c>
      <c r="O139" s="4">
        <f t="shared" si="16"/>
        <v>0</v>
      </c>
    </row>
    <row r="140" spans="2:15" s="5" customFormat="1" ht="25.8" customHeight="1" x14ac:dyDescent="0.3">
      <c r="B140" s="4" t="str">
        <f t="shared" si="17"/>
        <v/>
      </c>
      <c r="C140" s="8"/>
      <c r="D140" s="9"/>
      <c r="E140" s="10"/>
      <c r="F140" s="8" t="s">
        <v>31</v>
      </c>
      <c r="G140" s="8"/>
      <c r="H140" s="9"/>
      <c r="I140" s="4">
        <f t="shared" si="15"/>
        <v>0</v>
      </c>
      <c r="J140" s="4">
        <f t="shared" si="5"/>
        <v>0</v>
      </c>
      <c r="K140" s="4">
        <f t="shared" si="6"/>
        <v>0</v>
      </c>
      <c r="L140" s="4">
        <f t="shared" si="7"/>
        <v>0</v>
      </c>
      <c r="M140" s="4">
        <f t="shared" si="8"/>
        <v>0</v>
      </c>
      <c r="N140" s="4">
        <f t="shared" si="9"/>
        <v>0</v>
      </c>
      <c r="O140" s="4">
        <f t="shared" si="16"/>
        <v>0</v>
      </c>
    </row>
    <row r="141" spans="2:15" s="5" customFormat="1" ht="25.8" customHeight="1" x14ac:dyDescent="0.3">
      <c r="B141" s="4" t="str">
        <f t="shared" si="17"/>
        <v/>
      </c>
      <c r="C141" s="8"/>
      <c r="D141" s="9"/>
      <c r="E141" s="10"/>
      <c r="F141" s="8" t="s">
        <v>31</v>
      </c>
      <c r="G141" s="8"/>
      <c r="H141" s="9"/>
      <c r="I141" s="4">
        <f t="shared" si="15"/>
        <v>0</v>
      </c>
      <c r="J141" s="4">
        <f t="shared" si="5"/>
        <v>0</v>
      </c>
      <c r="K141" s="4">
        <f t="shared" si="6"/>
        <v>0</v>
      </c>
      <c r="L141" s="4">
        <f t="shared" si="7"/>
        <v>0</v>
      </c>
      <c r="M141" s="4">
        <f t="shared" si="8"/>
        <v>0</v>
      </c>
      <c r="N141" s="4">
        <f t="shared" si="9"/>
        <v>0</v>
      </c>
      <c r="O141" s="4">
        <f t="shared" si="16"/>
        <v>0</v>
      </c>
    </row>
    <row r="142" spans="2:15" s="5" customFormat="1" ht="25.8" customHeight="1" x14ac:dyDescent="0.3">
      <c r="B142" s="4" t="str">
        <f t="shared" si="17"/>
        <v/>
      </c>
      <c r="C142" s="8"/>
      <c r="D142" s="9"/>
      <c r="E142" s="10"/>
      <c r="F142" s="8" t="s">
        <v>31</v>
      </c>
      <c r="G142" s="8"/>
      <c r="H142" s="9"/>
      <c r="I142" s="4">
        <f t="shared" si="15"/>
        <v>0</v>
      </c>
      <c r="J142" s="4">
        <f t="shared" si="5"/>
        <v>0</v>
      </c>
      <c r="K142" s="4">
        <f t="shared" si="6"/>
        <v>0</v>
      </c>
      <c r="L142" s="4">
        <f t="shared" si="7"/>
        <v>0</v>
      </c>
      <c r="M142" s="4">
        <f t="shared" si="8"/>
        <v>0</v>
      </c>
      <c r="N142" s="4">
        <f t="shared" si="9"/>
        <v>0</v>
      </c>
      <c r="O142" s="4">
        <f t="shared" si="16"/>
        <v>0</v>
      </c>
    </row>
    <row r="143" spans="2:15" s="5" customFormat="1" ht="25.8" customHeight="1" x14ac:dyDescent="0.3">
      <c r="B143" s="4" t="str">
        <f t="shared" si="17"/>
        <v/>
      </c>
      <c r="C143" s="8"/>
      <c r="D143" s="9"/>
      <c r="E143" s="10"/>
      <c r="F143" s="8" t="s">
        <v>31</v>
      </c>
      <c r="G143" s="8"/>
      <c r="H143" s="9"/>
      <c r="I143" s="4">
        <f t="shared" si="15"/>
        <v>0</v>
      </c>
      <c r="J143" s="4">
        <f t="shared" si="5"/>
        <v>0</v>
      </c>
      <c r="K143" s="4">
        <f t="shared" si="6"/>
        <v>0</v>
      </c>
      <c r="L143" s="4">
        <f t="shared" si="7"/>
        <v>0</v>
      </c>
      <c r="M143" s="4">
        <f t="shared" si="8"/>
        <v>0</v>
      </c>
      <c r="N143" s="4">
        <f t="shared" si="9"/>
        <v>0</v>
      </c>
      <c r="O143" s="4">
        <f t="shared" si="16"/>
        <v>0</v>
      </c>
    </row>
    <row r="144" spans="2:15" s="5" customFormat="1" ht="25.8" customHeight="1" x14ac:dyDescent="0.3">
      <c r="B144" s="4" t="str">
        <f t="shared" si="17"/>
        <v/>
      </c>
      <c r="C144" s="8"/>
      <c r="D144" s="9"/>
      <c r="E144" s="10"/>
      <c r="F144" s="8" t="s">
        <v>31</v>
      </c>
      <c r="G144" s="8"/>
      <c r="H144" s="9"/>
      <c r="I144" s="4">
        <f t="shared" si="15"/>
        <v>0</v>
      </c>
      <c r="J144" s="4">
        <f t="shared" si="5"/>
        <v>0</v>
      </c>
      <c r="K144" s="4">
        <f t="shared" si="6"/>
        <v>0</v>
      </c>
      <c r="L144" s="4">
        <f t="shared" si="7"/>
        <v>0</v>
      </c>
      <c r="M144" s="4">
        <f t="shared" si="8"/>
        <v>0</v>
      </c>
      <c r="N144" s="4">
        <f t="shared" si="9"/>
        <v>0</v>
      </c>
      <c r="O144" s="4">
        <f t="shared" si="16"/>
        <v>0</v>
      </c>
    </row>
    <row r="145" spans="2:15" s="5" customFormat="1" ht="25.8" customHeight="1" x14ac:dyDescent="0.3">
      <c r="B145" s="4" t="str">
        <f t="shared" si="17"/>
        <v/>
      </c>
      <c r="C145" s="8"/>
      <c r="D145" s="9"/>
      <c r="E145" s="10"/>
      <c r="F145" s="8" t="s">
        <v>31</v>
      </c>
      <c r="G145" s="8"/>
      <c r="H145" s="9"/>
      <c r="I145" s="4">
        <f t="shared" si="15"/>
        <v>0</v>
      </c>
      <c r="J145" s="4">
        <f t="shared" si="5"/>
        <v>0</v>
      </c>
      <c r="K145" s="4">
        <f t="shared" si="6"/>
        <v>0</v>
      </c>
      <c r="L145" s="4">
        <f t="shared" si="7"/>
        <v>0</v>
      </c>
      <c r="M145" s="4">
        <f t="shared" si="8"/>
        <v>0</v>
      </c>
      <c r="N145" s="4">
        <f t="shared" si="9"/>
        <v>0</v>
      </c>
      <c r="O145" s="4">
        <f t="shared" si="16"/>
        <v>0</v>
      </c>
    </row>
    <row r="146" spans="2:15" s="5" customFormat="1" ht="25.8" customHeight="1" x14ac:dyDescent="0.3">
      <c r="B146" s="4" t="str">
        <f t="shared" si="17"/>
        <v/>
      </c>
      <c r="C146" s="8"/>
      <c r="D146" s="9"/>
      <c r="E146" s="10"/>
      <c r="F146" s="8" t="s">
        <v>31</v>
      </c>
      <c r="G146" s="8"/>
      <c r="H146" s="9"/>
      <c r="I146" s="4">
        <f t="shared" si="15"/>
        <v>0</v>
      </c>
      <c r="J146" s="4">
        <f t="shared" si="5"/>
        <v>0</v>
      </c>
      <c r="K146" s="4">
        <f t="shared" si="6"/>
        <v>0</v>
      </c>
      <c r="L146" s="4">
        <f t="shared" si="7"/>
        <v>0</v>
      </c>
      <c r="M146" s="4">
        <f t="shared" si="8"/>
        <v>0</v>
      </c>
      <c r="N146" s="4">
        <f t="shared" si="9"/>
        <v>0</v>
      </c>
      <c r="O146" s="4">
        <f t="shared" si="16"/>
        <v>0</v>
      </c>
    </row>
    <row r="147" spans="2:15" s="5" customFormat="1" ht="25.8" customHeight="1" x14ac:dyDescent="0.3">
      <c r="B147" s="4" t="str">
        <f t="shared" si="17"/>
        <v/>
      </c>
      <c r="C147" s="8"/>
      <c r="D147" s="9"/>
      <c r="E147" s="10"/>
      <c r="F147" s="8" t="s">
        <v>31</v>
      </c>
      <c r="G147" s="8"/>
      <c r="H147" s="9"/>
      <c r="I147" s="4">
        <f t="shared" si="15"/>
        <v>0</v>
      </c>
      <c r="J147" s="4">
        <f t="shared" si="5"/>
        <v>0</v>
      </c>
      <c r="K147" s="4">
        <f t="shared" si="6"/>
        <v>0</v>
      </c>
      <c r="L147" s="4">
        <f t="shared" si="7"/>
        <v>0</v>
      </c>
      <c r="M147" s="4">
        <f t="shared" si="8"/>
        <v>0</v>
      </c>
      <c r="N147" s="4">
        <f t="shared" si="9"/>
        <v>0</v>
      </c>
      <c r="O147" s="4">
        <f t="shared" si="16"/>
        <v>0</v>
      </c>
    </row>
    <row r="148" spans="2:15" s="5" customFormat="1" ht="25.8" customHeight="1" x14ac:dyDescent="0.3">
      <c r="B148" s="4" t="str">
        <f t="shared" si="17"/>
        <v/>
      </c>
      <c r="C148" s="8"/>
      <c r="D148" s="9"/>
      <c r="E148" s="10"/>
      <c r="F148" s="8" t="s">
        <v>31</v>
      </c>
      <c r="G148" s="8"/>
      <c r="H148" s="9"/>
      <c r="I148" s="4">
        <f t="shared" si="15"/>
        <v>0</v>
      </c>
      <c r="J148" s="4">
        <f t="shared" si="5"/>
        <v>0</v>
      </c>
      <c r="K148" s="4">
        <f t="shared" si="6"/>
        <v>0</v>
      </c>
      <c r="L148" s="4">
        <f t="shared" si="7"/>
        <v>0</v>
      </c>
      <c r="M148" s="4">
        <f t="shared" si="8"/>
        <v>0</v>
      </c>
      <c r="N148" s="4">
        <f t="shared" si="9"/>
        <v>0</v>
      </c>
      <c r="O148" s="4">
        <f t="shared" si="16"/>
        <v>0</v>
      </c>
    </row>
  </sheetData>
  <sheetProtection formatCells="0" formatColumns="0" formatRows="0" insertColumns="0" insertRows="0" insertHyperlinks="0" deleteColumns="0" deleteRows="0" sort="0" autoFilter="0" pivotTables="0"/>
  <autoFilter ref="B4:H148" xr:uid="{00000000-0001-0000-0000-000000000000}"/>
  <mergeCells count="1">
    <mergeCell ref="B2:H2"/>
  </mergeCells>
  <phoneticPr fontId="2" type="noConversion"/>
  <conditionalFormatting sqref="B5:H148">
    <cfRule type="expression" dxfId="25" priority="32">
      <formula>IF($C5="НАКАЗАНИЕ",1,0)</formula>
    </cfRule>
    <cfRule type="expression" dxfId="24" priority="33">
      <formula>IF($G5="СУПЕР ИГРА",1,0)</formula>
    </cfRule>
    <cfRule type="expression" dxfId="23" priority="34">
      <formula>IF($G5="Сложная",1,0)</formula>
    </cfRule>
    <cfRule type="expression" dxfId="22" priority="35">
      <formula>IF($G5="Средняя",1,0)</formula>
    </cfRule>
    <cfRule type="expression" dxfId="21" priority="36">
      <formula>IF($G5="Легкая",1,0)</formula>
    </cfRule>
  </conditionalFormatting>
  <conditionalFormatting sqref="J3">
    <cfRule type="expression" dxfId="20" priority="17">
      <formula>IF($C3="НАКАЗАНИЕ",1,0)</formula>
    </cfRule>
    <cfRule type="expression" dxfId="19" priority="18">
      <formula>IF($G3="СУПЕР ИГРА",1,0)</formula>
    </cfRule>
    <cfRule type="expression" dxfId="18" priority="19">
      <formula>IF($G3="Сложная",1,0)</formula>
    </cfRule>
    <cfRule type="expression" dxfId="17" priority="20">
      <formula>IF($G3="Средняя",1,0)</formula>
    </cfRule>
    <cfRule type="expression" dxfId="16" priority="21">
      <formula>IF($G3="Легкая",1,0)</formula>
    </cfRule>
  </conditionalFormatting>
  <conditionalFormatting sqref="K3">
    <cfRule type="expression" dxfId="15" priority="12">
      <formula>IF($C3="НАКАЗАНИЕ",1,0)</formula>
    </cfRule>
    <cfRule type="expression" dxfId="14" priority="13">
      <formula>IF($G3="СУПЕР ИГРА",1,0)</formula>
    </cfRule>
    <cfRule type="expression" dxfId="13" priority="14">
      <formula>IF($G3="Сложная",1,0)</formula>
    </cfRule>
    <cfRule type="expression" dxfId="12" priority="15">
      <formula>IF($G3="Средняя",1,0)</formula>
    </cfRule>
    <cfRule type="expression" dxfId="11" priority="16">
      <formula>IF($G3="Легкая",1,0)</formula>
    </cfRule>
  </conditionalFormatting>
  <conditionalFormatting sqref="I1:O148">
    <cfRule type="expression" dxfId="10" priority="7">
      <formula>IF($C1="НАКАЗАНИЕ",1,0)</formula>
    </cfRule>
    <cfRule type="expression" dxfId="9" priority="8">
      <formula>IF($G1="СУПЕР ИГРА",1,0)</formula>
    </cfRule>
    <cfRule type="expression" dxfId="8" priority="9">
      <formula>IF($G1="Сложная",1,0)</formula>
    </cfRule>
    <cfRule type="expression" dxfId="7" priority="10">
      <formula>IF($G1="Средняя",1,0)</formula>
    </cfRule>
    <cfRule type="expression" dxfId="6" priority="11">
      <formula>IF($G1="Легкая",1,0)</formula>
    </cfRule>
  </conditionalFormatting>
  <conditionalFormatting sqref="I3">
    <cfRule type="expression" dxfId="5" priority="2">
      <formula>IF($C3="НАКАЗАНИЕ",1,0)</formula>
    </cfRule>
    <cfRule type="expression" dxfId="4" priority="3">
      <formula>IF($G3="СУПЕР ИГРА",1,0)</formula>
    </cfRule>
    <cfRule type="expression" dxfId="3" priority="4">
      <formula>IF($G3="Сложная",1,0)</formula>
    </cfRule>
    <cfRule type="expression" dxfId="2" priority="5">
      <formula>IF($G3="Средняя",1,0)</formula>
    </cfRule>
    <cfRule type="expression" dxfId="1" priority="6">
      <formula>IF($G3="Легкая",1,0)</formula>
    </cfRule>
  </conditionalFormatting>
  <conditionalFormatting sqref="B6:G1048576">
    <cfRule type="expression" dxfId="0" priority="1">
      <formula>IF($H6&gt;0,1,0)</formula>
    </cfRule>
  </conditionalFormatting>
  <dataValidations count="2">
    <dataValidation type="list" allowBlank="1" showInputMessage="1" showErrorMessage="1" sqref="G5:G148" xr:uid="{1AD06B99-D8D6-4DA7-ABAE-4A008C4C2873}">
      <formula1>"Легкая, Средняя, Сложная, СУПЕР ИГРА"</formula1>
    </dataValidation>
    <dataValidation type="list" allowBlank="1" showInputMessage="1" showErrorMessage="1" sqref="C5:C148" xr:uid="{3EC57A08-3BF5-4321-810E-07183D5C151F}">
      <formula1>"ЗАДАНИЕ, НАКАЗАНИЕ"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F5144B-0DDE-4EA5-8F90-6A0EDA2CF777}">
  <dimension ref="B1:Q148"/>
  <sheetViews>
    <sheetView showGridLines="0" workbookViewId="0">
      <selection activeCell="E6" sqref="E6"/>
    </sheetView>
  </sheetViews>
  <sheetFormatPr defaultRowHeight="14.4" x14ac:dyDescent="0.3"/>
  <cols>
    <col min="1" max="1" width="2.5546875" customWidth="1"/>
    <col min="2" max="2" width="4.44140625" style="1" customWidth="1"/>
    <col min="3" max="3" width="15.21875" style="1" customWidth="1"/>
    <col min="4" max="4" width="24.77734375" bestFit="1" customWidth="1"/>
    <col min="5" max="5" width="72.88671875" style="7" customWidth="1"/>
    <col min="6" max="6" width="20.21875" style="1" bestFit="1" customWidth="1"/>
    <col min="7" max="7" width="18.44140625" style="1" customWidth="1"/>
    <col min="8" max="8" width="16" customWidth="1"/>
    <col min="9" max="14" width="8.88671875" hidden="1" customWidth="1"/>
    <col min="15" max="17" width="0" hidden="1" customWidth="1"/>
  </cols>
  <sheetData>
    <row r="1" spans="2:17" ht="45.6" customHeight="1" x14ac:dyDescent="0.3"/>
    <row r="2" spans="2:17" ht="45.6" customHeight="1" x14ac:dyDescent="0.3">
      <c r="B2" s="21" t="s">
        <v>110</v>
      </c>
      <c r="C2" s="21"/>
      <c r="D2" s="21"/>
      <c r="E2" s="21"/>
      <c r="F2" s="21"/>
      <c r="G2" s="21"/>
      <c r="H2" s="21"/>
      <c r="I2" t="str">
        <f>_xlfn.CONCAT(I3:I4)</f>
        <v>Легко - 0</v>
      </c>
      <c r="J2" t="str">
        <f t="shared" ref="J2:N2" si="0">_xlfn.CONCAT(J3:J4)</f>
        <v>Средне - 0</v>
      </c>
      <c r="K2" t="str">
        <f t="shared" si="0"/>
        <v>Сложно - 0</v>
      </c>
      <c r="L2" t="str">
        <f t="shared" si="0"/>
        <v>СУПЕР ИГРА - 0</v>
      </c>
      <c r="M2" t="str">
        <f t="shared" si="0"/>
        <v>Наказание - 0</v>
      </c>
      <c r="N2" t="str">
        <f t="shared" si="0"/>
        <v>Задание - 0</v>
      </c>
      <c r="Q2">
        <f>MAX(H5:H148)</f>
        <v>0</v>
      </c>
    </row>
    <row r="3" spans="2:17" s="3" customFormat="1" ht="38.4" customHeight="1" x14ac:dyDescent="0.3">
      <c r="B3" s="2" t="s">
        <v>0</v>
      </c>
      <c r="C3" s="2" t="s">
        <v>9</v>
      </c>
      <c r="D3" s="2" t="s">
        <v>1</v>
      </c>
      <c r="E3" s="6" t="s">
        <v>2</v>
      </c>
      <c r="F3" s="2" t="s">
        <v>13</v>
      </c>
      <c r="G3" s="2" t="s">
        <v>3</v>
      </c>
      <c r="H3" s="2" t="s">
        <v>4</v>
      </c>
      <c r="I3" s="4" t="s">
        <v>45</v>
      </c>
      <c r="J3" s="4" t="s">
        <v>46</v>
      </c>
      <c r="K3" s="4" t="s">
        <v>47</v>
      </c>
      <c r="L3" s="4" t="s">
        <v>48</v>
      </c>
      <c r="M3" s="4" t="s">
        <v>50</v>
      </c>
      <c r="N3" s="4" t="s">
        <v>49</v>
      </c>
      <c r="O3" s="4"/>
    </row>
    <row r="4" spans="2:17" hidden="1" x14ac:dyDescent="0.3">
      <c r="I4" s="4">
        <f>SUM(I5:I148)</f>
        <v>0</v>
      </c>
      <c r="J4" s="4">
        <f t="shared" ref="J4:K4" si="1">SUM(J5:J148)</f>
        <v>0</v>
      </c>
      <c r="K4" s="4">
        <f t="shared" si="1"/>
        <v>0</v>
      </c>
      <c r="L4" s="4">
        <f>SUM(L5:L148)</f>
        <v>0</v>
      </c>
      <c r="M4" s="4">
        <f>SUM(M5:M148)</f>
        <v>0</v>
      </c>
      <c r="N4" s="4">
        <f>SUM(N5:N148)</f>
        <v>0</v>
      </c>
      <c r="O4" s="4">
        <f>SUM(O5:O148)</f>
        <v>0</v>
      </c>
    </row>
    <row r="5" spans="2:17" s="5" customFormat="1" ht="32.4" customHeight="1" x14ac:dyDescent="0.3">
      <c r="B5" s="4">
        <v>1</v>
      </c>
      <c r="C5" s="8"/>
      <c r="D5" s="9"/>
      <c r="E5" s="10"/>
      <c r="F5" s="8" t="s">
        <v>31</v>
      </c>
      <c r="G5" s="8"/>
      <c r="H5" s="9"/>
      <c r="I5" s="4">
        <f>IF($G5="Легкая",1,0)-O5</f>
        <v>0</v>
      </c>
      <c r="J5" s="4">
        <f>IF($G5="Средняя",1,0)-O5</f>
        <v>0</v>
      </c>
      <c r="K5" s="4">
        <f>IF($G5="Сложная",1,0)-O5</f>
        <v>0</v>
      </c>
      <c r="L5" s="4">
        <f>IF($G5="СУПЕР ИГРА",1,0)-O5</f>
        <v>0</v>
      </c>
      <c r="M5" s="4">
        <f>IF($C5="НАКАЗАНИЕ",1,0)-P5</f>
        <v>0</v>
      </c>
      <c r="N5" s="4">
        <f>IF($C5="ЗАДАНИЕ",1,0)-P5</f>
        <v>0</v>
      </c>
      <c r="O5" s="4">
        <f>IF(H5&gt;0,1,0)</f>
        <v>0</v>
      </c>
    </row>
    <row r="6" spans="2:17" s="5" customFormat="1" ht="32.4" customHeight="1" x14ac:dyDescent="0.3">
      <c r="B6" s="4" t="str">
        <f>IF(E6&gt;0,1+B5,"")</f>
        <v/>
      </c>
      <c r="C6" s="8"/>
      <c r="D6" s="9"/>
      <c r="E6" s="10"/>
      <c r="F6" s="8" t="s">
        <v>31</v>
      </c>
      <c r="G6" s="8"/>
      <c r="H6" s="9"/>
      <c r="I6" s="4">
        <f t="shared" ref="I6:I69" si="2">IF($G6="Легкая",1,0)-O6</f>
        <v>0</v>
      </c>
      <c r="J6" s="4">
        <f t="shared" ref="J6:J148" si="3">IF($G6="Средняя",1,0)</f>
        <v>0</v>
      </c>
      <c r="K6" s="4">
        <f t="shared" ref="K6:K148" si="4">IF($G6="Сложная",1,0)</f>
        <v>0</v>
      </c>
      <c r="L6" s="4">
        <f t="shared" ref="L6:L148" si="5">IF($G6="СУПЕР ИГРА",1,0)</f>
        <v>0</v>
      </c>
      <c r="M6" s="4">
        <f t="shared" ref="M6:M148" si="6">IF($C6="НАКАЗАНИЕ",1,0)</f>
        <v>0</v>
      </c>
      <c r="N6" s="4">
        <f t="shared" ref="N6:N148" si="7">IF($C6="ЗАДАНИЕ",1,0)</f>
        <v>0</v>
      </c>
      <c r="O6" s="4">
        <f t="shared" ref="O6:O69" si="8">IF(H6&gt;0,1,0)</f>
        <v>0</v>
      </c>
    </row>
    <row r="7" spans="2:17" s="5" customFormat="1" ht="32.4" customHeight="1" x14ac:dyDescent="0.3">
      <c r="B7" s="4" t="str">
        <f t="shared" ref="B7:B70" si="9">IF(E7&gt;0,1+B6,"")</f>
        <v/>
      </c>
      <c r="C7" s="8"/>
      <c r="D7" s="9"/>
      <c r="E7" s="10"/>
      <c r="F7" s="8" t="s">
        <v>31</v>
      </c>
      <c r="G7" s="8"/>
      <c r="H7" s="9"/>
      <c r="I7" s="4">
        <f t="shared" si="2"/>
        <v>0</v>
      </c>
      <c r="J7" s="4">
        <f t="shared" si="3"/>
        <v>0</v>
      </c>
      <c r="K7" s="4">
        <f t="shared" si="4"/>
        <v>0</v>
      </c>
      <c r="L7" s="4">
        <f t="shared" si="5"/>
        <v>0</v>
      </c>
      <c r="M7" s="4">
        <f t="shared" si="6"/>
        <v>0</v>
      </c>
      <c r="N7" s="4">
        <f t="shared" si="7"/>
        <v>0</v>
      </c>
      <c r="O7" s="4">
        <f t="shared" si="8"/>
        <v>0</v>
      </c>
    </row>
    <row r="8" spans="2:17" s="5" customFormat="1" ht="32.4" customHeight="1" x14ac:dyDescent="0.3">
      <c r="B8" s="4" t="str">
        <f t="shared" si="9"/>
        <v/>
      </c>
      <c r="C8" s="8"/>
      <c r="D8" s="9"/>
      <c r="E8" s="10"/>
      <c r="F8" s="8" t="s">
        <v>31</v>
      </c>
      <c r="G8" s="8"/>
      <c r="H8" s="9"/>
      <c r="I8" s="4">
        <f t="shared" si="2"/>
        <v>0</v>
      </c>
      <c r="J8" s="4">
        <f t="shared" si="3"/>
        <v>0</v>
      </c>
      <c r="K8" s="4">
        <f t="shared" si="4"/>
        <v>0</v>
      </c>
      <c r="L8" s="4">
        <f t="shared" si="5"/>
        <v>0</v>
      </c>
      <c r="M8" s="4">
        <f t="shared" si="6"/>
        <v>0</v>
      </c>
      <c r="N8" s="4">
        <f t="shared" si="7"/>
        <v>0</v>
      </c>
      <c r="O8" s="4">
        <f t="shared" si="8"/>
        <v>0</v>
      </c>
    </row>
    <row r="9" spans="2:17" s="5" customFormat="1" ht="32.4" customHeight="1" x14ac:dyDescent="0.3">
      <c r="B9" s="4" t="str">
        <f t="shared" si="9"/>
        <v/>
      </c>
      <c r="C9" s="8"/>
      <c r="D9" s="9"/>
      <c r="E9" s="10"/>
      <c r="F9" s="8" t="s">
        <v>31</v>
      </c>
      <c r="G9" s="8"/>
      <c r="H9" s="9"/>
      <c r="I9" s="4">
        <f t="shared" si="2"/>
        <v>0</v>
      </c>
      <c r="J9" s="4">
        <f t="shared" si="3"/>
        <v>0</v>
      </c>
      <c r="K9" s="4">
        <f t="shared" si="4"/>
        <v>0</v>
      </c>
      <c r="L9" s="4">
        <f t="shared" si="5"/>
        <v>0</v>
      </c>
      <c r="M9" s="4">
        <f t="shared" si="6"/>
        <v>0</v>
      </c>
      <c r="N9" s="4">
        <f t="shared" si="7"/>
        <v>0</v>
      </c>
      <c r="O9" s="4">
        <f t="shared" si="8"/>
        <v>0</v>
      </c>
    </row>
    <row r="10" spans="2:17" s="5" customFormat="1" ht="32.4" customHeight="1" x14ac:dyDescent="0.3">
      <c r="B10" s="4" t="str">
        <f t="shared" si="9"/>
        <v/>
      </c>
      <c r="C10" s="8"/>
      <c r="D10" s="9"/>
      <c r="E10" s="10"/>
      <c r="F10" s="8" t="s">
        <v>31</v>
      </c>
      <c r="G10" s="8"/>
      <c r="H10" s="9"/>
      <c r="I10" s="4">
        <f t="shared" si="2"/>
        <v>0</v>
      </c>
      <c r="J10" s="4">
        <f t="shared" si="3"/>
        <v>0</v>
      </c>
      <c r="K10" s="4">
        <f t="shared" si="4"/>
        <v>0</v>
      </c>
      <c r="L10" s="4">
        <f t="shared" si="5"/>
        <v>0</v>
      </c>
      <c r="M10" s="4">
        <f t="shared" si="6"/>
        <v>0</v>
      </c>
      <c r="N10" s="4">
        <f t="shared" si="7"/>
        <v>0</v>
      </c>
      <c r="O10" s="4">
        <f t="shared" si="8"/>
        <v>0</v>
      </c>
    </row>
    <row r="11" spans="2:17" s="5" customFormat="1" ht="32.4" customHeight="1" x14ac:dyDescent="0.3">
      <c r="B11" s="4" t="str">
        <f t="shared" si="9"/>
        <v/>
      </c>
      <c r="C11" s="8"/>
      <c r="D11" s="9"/>
      <c r="E11" s="10"/>
      <c r="F11" s="8" t="s">
        <v>31</v>
      </c>
      <c r="G11" s="8"/>
      <c r="H11" s="9"/>
      <c r="I11" s="4">
        <f t="shared" si="2"/>
        <v>0</v>
      </c>
      <c r="J11" s="4">
        <f t="shared" si="3"/>
        <v>0</v>
      </c>
      <c r="K11" s="4">
        <f t="shared" si="4"/>
        <v>0</v>
      </c>
      <c r="L11" s="4">
        <f t="shared" si="5"/>
        <v>0</v>
      </c>
      <c r="M11" s="4">
        <f t="shared" si="6"/>
        <v>0</v>
      </c>
      <c r="N11" s="4">
        <f t="shared" si="7"/>
        <v>0</v>
      </c>
      <c r="O11" s="4">
        <f t="shared" si="8"/>
        <v>0</v>
      </c>
    </row>
    <row r="12" spans="2:17" s="5" customFormat="1" ht="32.4" customHeight="1" x14ac:dyDescent="0.3">
      <c r="B12" s="4" t="str">
        <f t="shared" si="9"/>
        <v/>
      </c>
      <c r="C12" s="8"/>
      <c r="D12" s="9"/>
      <c r="E12" s="10"/>
      <c r="F12" s="8" t="s">
        <v>31</v>
      </c>
      <c r="G12" s="8"/>
      <c r="H12" s="9"/>
      <c r="I12" s="4">
        <f t="shared" si="2"/>
        <v>0</v>
      </c>
      <c r="J12" s="4">
        <f t="shared" si="3"/>
        <v>0</v>
      </c>
      <c r="K12" s="4">
        <f t="shared" si="4"/>
        <v>0</v>
      </c>
      <c r="L12" s="4">
        <f t="shared" si="5"/>
        <v>0</v>
      </c>
      <c r="M12" s="4">
        <f t="shared" si="6"/>
        <v>0</v>
      </c>
      <c r="N12" s="4">
        <f t="shared" si="7"/>
        <v>0</v>
      </c>
      <c r="O12" s="4">
        <f t="shared" si="8"/>
        <v>0</v>
      </c>
    </row>
    <row r="13" spans="2:17" s="5" customFormat="1" ht="32.4" customHeight="1" x14ac:dyDescent="0.3">
      <c r="B13" s="4" t="str">
        <f t="shared" si="9"/>
        <v/>
      </c>
      <c r="C13" s="8"/>
      <c r="D13" s="9"/>
      <c r="E13" s="10"/>
      <c r="F13" s="8" t="s">
        <v>31</v>
      </c>
      <c r="G13" s="8"/>
      <c r="H13" s="9"/>
      <c r="I13" s="4">
        <f t="shared" si="2"/>
        <v>0</v>
      </c>
      <c r="J13" s="4">
        <f t="shared" si="3"/>
        <v>0</v>
      </c>
      <c r="K13" s="4">
        <f t="shared" si="4"/>
        <v>0</v>
      </c>
      <c r="L13" s="4">
        <f t="shared" si="5"/>
        <v>0</v>
      </c>
      <c r="M13" s="4">
        <f t="shared" si="6"/>
        <v>0</v>
      </c>
      <c r="N13" s="4">
        <f t="shared" si="7"/>
        <v>0</v>
      </c>
      <c r="O13" s="4">
        <f t="shared" si="8"/>
        <v>0</v>
      </c>
    </row>
    <row r="14" spans="2:17" s="5" customFormat="1" ht="32.4" customHeight="1" x14ac:dyDescent="0.3">
      <c r="B14" s="4" t="str">
        <f t="shared" si="9"/>
        <v/>
      </c>
      <c r="C14" s="8"/>
      <c r="D14" s="9"/>
      <c r="E14" s="10"/>
      <c r="F14" s="8" t="s">
        <v>31</v>
      </c>
      <c r="G14" s="8"/>
      <c r="H14" s="9"/>
      <c r="I14" s="4">
        <f t="shared" si="2"/>
        <v>0</v>
      </c>
      <c r="J14" s="4">
        <f t="shared" si="3"/>
        <v>0</v>
      </c>
      <c r="K14" s="4">
        <f t="shared" si="4"/>
        <v>0</v>
      </c>
      <c r="L14" s="4">
        <f t="shared" si="5"/>
        <v>0</v>
      </c>
      <c r="M14" s="4">
        <f t="shared" si="6"/>
        <v>0</v>
      </c>
      <c r="N14" s="4">
        <f t="shared" si="7"/>
        <v>0</v>
      </c>
      <c r="O14" s="4">
        <f t="shared" si="8"/>
        <v>0</v>
      </c>
    </row>
    <row r="15" spans="2:17" s="5" customFormat="1" ht="32.4" customHeight="1" x14ac:dyDescent="0.3">
      <c r="B15" s="4" t="str">
        <f t="shared" si="9"/>
        <v/>
      </c>
      <c r="C15" s="8"/>
      <c r="D15" s="9"/>
      <c r="E15" s="10"/>
      <c r="F15" s="8" t="s">
        <v>31</v>
      </c>
      <c r="G15" s="8"/>
      <c r="H15" s="9"/>
      <c r="I15" s="4">
        <f t="shared" si="2"/>
        <v>0</v>
      </c>
      <c r="J15" s="4">
        <f t="shared" si="3"/>
        <v>0</v>
      </c>
      <c r="K15" s="4">
        <f t="shared" si="4"/>
        <v>0</v>
      </c>
      <c r="L15" s="4">
        <f t="shared" si="5"/>
        <v>0</v>
      </c>
      <c r="M15" s="4">
        <f t="shared" si="6"/>
        <v>0</v>
      </c>
      <c r="N15" s="4">
        <f t="shared" si="7"/>
        <v>0</v>
      </c>
      <c r="O15" s="4">
        <f t="shared" si="8"/>
        <v>0</v>
      </c>
    </row>
    <row r="16" spans="2:17" s="5" customFormat="1" ht="32.4" customHeight="1" x14ac:dyDescent="0.3">
      <c r="B16" s="4" t="str">
        <f t="shared" si="9"/>
        <v/>
      </c>
      <c r="C16" s="8"/>
      <c r="D16" s="9"/>
      <c r="E16" s="10"/>
      <c r="F16" s="8" t="s">
        <v>31</v>
      </c>
      <c r="G16" s="8"/>
      <c r="H16" s="9"/>
      <c r="I16" s="4">
        <f t="shared" si="2"/>
        <v>0</v>
      </c>
      <c r="J16" s="4">
        <f t="shared" si="3"/>
        <v>0</v>
      </c>
      <c r="K16" s="4">
        <f t="shared" si="4"/>
        <v>0</v>
      </c>
      <c r="L16" s="4">
        <f t="shared" si="5"/>
        <v>0</v>
      </c>
      <c r="M16" s="4">
        <f t="shared" si="6"/>
        <v>0</v>
      </c>
      <c r="N16" s="4">
        <f t="shared" si="7"/>
        <v>0</v>
      </c>
      <c r="O16" s="4">
        <f t="shared" si="8"/>
        <v>0</v>
      </c>
    </row>
    <row r="17" spans="2:15" s="5" customFormat="1" ht="32.4" customHeight="1" x14ac:dyDescent="0.3">
      <c r="B17" s="4" t="str">
        <f t="shared" si="9"/>
        <v/>
      </c>
      <c r="C17" s="8"/>
      <c r="D17" s="9"/>
      <c r="E17" s="10"/>
      <c r="F17" s="8" t="s">
        <v>31</v>
      </c>
      <c r="G17" s="8"/>
      <c r="H17" s="9"/>
      <c r="I17" s="4">
        <f t="shared" si="2"/>
        <v>0</v>
      </c>
      <c r="J17" s="4">
        <f t="shared" si="3"/>
        <v>0</v>
      </c>
      <c r="K17" s="4">
        <f t="shared" si="4"/>
        <v>0</v>
      </c>
      <c r="L17" s="4">
        <f t="shared" si="5"/>
        <v>0</v>
      </c>
      <c r="M17" s="4">
        <f t="shared" si="6"/>
        <v>0</v>
      </c>
      <c r="N17" s="4">
        <f t="shared" si="7"/>
        <v>0</v>
      </c>
      <c r="O17" s="4">
        <f t="shared" si="8"/>
        <v>0</v>
      </c>
    </row>
    <row r="18" spans="2:15" s="5" customFormat="1" ht="32.4" customHeight="1" x14ac:dyDescent="0.3">
      <c r="B18" s="4" t="str">
        <f t="shared" si="9"/>
        <v/>
      </c>
      <c r="C18" s="8"/>
      <c r="D18" s="9"/>
      <c r="E18" s="10"/>
      <c r="F18" s="8" t="s">
        <v>31</v>
      </c>
      <c r="G18" s="8"/>
      <c r="H18" s="9"/>
      <c r="I18" s="4">
        <f t="shared" si="2"/>
        <v>0</v>
      </c>
      <c r="J18" s="4">
        <f t="shared" si="3"/>
        <v>0</v>
      </c>
      <c r="K18" s="4">
        <f t="shared" si="4"/>
        <v>0</v>
      </c>
      <c r="L18" s="4">
        <f t="shared" si="5"/>
        <v>0</v>
      </c>
      <c r="M18" s="4">
        <f t="shared" si="6"/>
        <v>0</v>
      </c>
      <c r="N18" s="4">
        <f t="shared" si="7"/>
        <v>0</v>
      </c>
      <c r="O18" s="4">
        <f t="shared" si="8"/>
        <v>0</v>
      </c>
    </row>
    <row r="19" spans="2:15" s="5" customFormat="1" ht="32.4" customHeight="1" x14ac:dyDescent="0.3">
      <c r="B19" s="4" t="str">
        <f t="shared" si="9"/>
        <v/>
      </c>
      <c r="C19" s="8"/>
      <c r="D19" s="9"/>
      <c r="E19" s="10"/>
      <c r="F19" s="8" t="s">
        <v>31</v>
      </c>
      <c r="G19" s="8"/>
      <c r="H19" s="9"/>
      <c r="I19" s="4">
        <f t="shared" si="2"/>
        <v>0</v>
      </c>
      <c r="J19" s="4">
        <f t="shared" si="3"/>
        <v>0</v>
      </c>
      <c r="K19" s="4">
        <f t="shared" si="4"/>
        <v>0</v>
      </c>
      <c r="L19" s="4">
        <f t="shared" si="5"/>
        <v>0</v>
      </c>
      <c r="M19" s="4">
        <f t="shared" si="6"/>
        <v>0</v>
      </c>
      <c r="N19" s="4">
        <f t="shared" si="7"/>
        <v>0</v>
      </c>
      <c r="O19" s="4">
        <f t="shared" si="8"/>
        <v>0</v>
      </c>
    </row>
    <row r="20" spans="2:15" s="5" customFormat="1" ht="32.4" customHeight="1" x14ac:dyDescent="0.3">
      <c r="B20" s="4" t="str">
        <f t="shared" si="9"/>
        <v/>
      </c>
      <c r="C20" s="8"/>
      <c r="D20" s="9"/>
      <c r="E20" s="10"/>
      <c r="F20" s="8" t="s">
        <v>31</v>
      </c>
      <c r="G20" s="8"/>
      <c r="H20" s="9"/>
      <c r="I20" s="4">
        <f t="shared" si="2"/>
        <v>0</v>
      </c>
      <c r="J20" s="4">
        <f t="shared" si="3"/>
        <v>0</v>
      </c>
      <c r="K20" s="4">
        <f t="shared" si="4"/>
        <v>0</v>
      </c>
      <c r="L20" s="4">
        <f t="shared" si="5"/>
        <v>0</v>
      </c>
      <c r="M20" s="4">
        <f t="shared" si="6"/>
        <v>0</v>
      </c>
      <c r="N20" s="4">
        <f t="shared" si="7"/>
        <v>0</v>
      </c>
      <c r="O20" s="4">
        <f t="shared" si="8"/>
        <v>0</v>
      </c>
    </row>
    <row r="21" spans="2:15" s="5" customFormat="1" ht="32.4" customHeight="1" x14ac:dyDescent="0.3">
      <c r="B21" s="4" t="str">
        <f t="shared" si="9"/>
        <v/>
      </c>
      <c r="C21" s="8"/>
      <c r="D21" s="9"/>
      <c r="E21" s="10"/>
      <c r="F21" s="8" t="s">
        <v>31</v>
      </c>
      <c r="G21" s="8"/>
      <c r="H21" s="9"/>
      <c r="I21" s="4">
        <f t="shared" si="2"/>
        <v>0</v>
      </c>
      <c r="J21" s="4">
        <f t="shared" si="3"/>
        <v>0</v>
      </c>
      <c r="K21" s="4">
        <f t="shared" si="4"/>
        <v>0</v>
      </c>
      <c r="L21" s="4">
        <f t="shared" si="5"/>
        <v>0</v>
      </c>
      <c r="M21" s="4">
        <f t="shared" si="6"/>
        <v>0</v>
      </c>
      <c r="N21" s="4">
        <f t="shared" si="7"/>
        <v>0</v>
      </c>
      <c r="O21" s="4">
        <f t="shared" si="8"/>
        <v>0</v>
      </c>
    </row>
    <row r="22" spans="2:15" s="5" customFormat="1" ht="32.4" customHeight="1" x14ac:dyDescent="0.3">
      <c r="B22" s="4" t="str">
        <f t="shared" si="9"/>
        <v/>
      </c>
      <c r="C22" s="8"/>
      <c r="D22" s="9"/>
      <c r="E22" s="10"/>
      <c r="F22" s="8" t="s">
        <v>31</v>
      </c>
      <c r="G22" s="8"/>
      <c r="H22" s="9"/>
      <c r="I22" s="4">
        <f t="shared" si="2"/>
        <v>0</v>
      </c>
      <c r="J22" s="4">
        <f t="shared" si="3"/>
        <v>0</v>
      </c>
      <c r="K22" s="4">
        <f t="shared" si="4"/>
        <v>0</v>
      </c>
      <c r="L22" s="4">
        <f t="shared" si="5"/>
        <v>0</v>
      </c>
      <c r="M22" s="4">
        <f t="shared" si="6"/>
        <v>0</v>
      </c>
      <c r="N22" s="4">
        <f t="shared" si="7"/>
        <v>0</v>
      </c>
      <c r="O22" s="4">
        <f t="shared" si="8"/>
        <v>0</v>
      </c>
    </row>
    <row r="23" spans="2:15" s="5" customFormat="1" ht="32.4" customHeight="1" x14ac:dyDescent="0.3">
      <c r="B23" s="4" t="str">
        <f t="shared" si="9"/>
        <v/>
      </c>
      <c r="C23" s="8"/>
      <c r="D23" s="9"/>
      <c r="E23" s="10"/>
      <c r="F23" s="8" t="s">
        <v>31</v>
      </c>
      <c r="G23" s="8"/>
      <c r="H23" s="9"/>
      <c r="I23" s="4">
        <f t="shared" si="2"/>
        <v>0</v>
      </c>
      <c r="J23" s="4">
        <f t="shared" si="3"/>
        <v>0</v>
      </c>
      <c r="K23" s="4">
        <f t="shared" si="4"/>
        <v>0</v>
      </c>
      <c r="L23" s="4">
        <f t="shared" si="5"/>
        <v>0</v>
      </c>
      <c r="M23" s="4">
        <f t="shared" si="6"/>
        <v>0</v>
      </c>
      <c r="N23" s="4">
        <f t="shared" si="7"/>
        <v>0</v>
      </c>
      <c r="O23" s="4">
        <f t="shared" si="8"/>
        <v>0</v>
      </c>
    </row>
    <row r="24" spans="2:15" s="5" customFormat="1" ht="32.4" customHeight="1" x14ac:dyDescent="0.3">
      <c r="B24" s="4" t="str">
        <f t="shared" si="9"/>
        <v/>
      </c>
      <c r="C24" s="8"/>
      <c r="D24" s="9"/>
      <c r="E24" s="10"/>
      <c r="F24" s="8" t="s">
        <v>31</v>
      </c>
      <c r="G24" s="8"/>
      <c r="H24" s="9"/>
      <c r="I24" s="4">
        <f t="shared" si="2"/>
        <v>0</v>
      </c>
      <c r="J24" s="4">
        <f t="shared" si="3"/>
        <v>0</v>
      </c>
      <c r="K24" s="4">
        <f t="shared" si="4"/>
        <v>0</v>
      </c>
      <c r="L24" s="4">
        <f t="shared" si="5"/>
        <v>0</v>
      </c>
      <c r="M24" s="4">
        <f t="shared" si="6"/>
        <v>0</v>
      </c>
      <c r="N24" s="4">
        <f t="shared" si="7"/>
        <v>0</v>
      </c>
      <c r="O24" s="4">
        <f t="shared" si="8"/>
        <v>0</v>
      </c>
    </row>
    <row r="25" spans="2:15" s="5" customFormat="1" ht="32.4" customHeight="1" x14ac:dyDescent="0.3">
      <c r="B25" s="4" t="str">
        <f t="shared" si="9"/>
        <v/>
      </c>
      <c r="C25" s="8"/>
      <c r="D25" s="9"/>
      <c r="E25" s="10"/>
      <c r="F25" s="8" t="s">
        <v>31</v>
      </c>
      <c r="G25" s="8"/>
      <c r="H25" s="9"/>
      <c r="I25" s="4">
        <f t="shared" si="2"/>
        <v>0</v>
      </c>
      <c r="J25" s="4">
        <f t="shared" si="3"/>
        <v>0</v>
      </c>
      <c r="K25" s="4">
        <f t="shared" si="4"/>
        <v>0</v>
      </c>
      <c r="L25" s="4">
        <f t="shared" si="5"/>
        <v>0</v>
      </c>
      <c r="M25" s="4">
        <f t="shared" si="6"/>
        <v>0</v>
      </c>
      <c r="N25" s="4">
        <f t="shared" si="7"/>
        <v>0</v>
      </c>
      <c r="O25" s="4">
        <f t="shared" si="8"/>
        <v>0</v>
      </c>
    </row>
    <row r="26" spans="2:15" s="5" customFormat="1" ht="32.4" customHeight="1" x14ac:dyDescent="0.3">
      <c r="B26" s="4" t="str">
        <f t="shared" si="9"/>
        <v/>
      </c>
      <c r="C26" s="8"/>
      <c r="D26" s="9"/>
      <c r="E26" s="10"/>
      <c r="F26" s="8" t="s">
        <v>31</v>
      </c>
      <c r="G26" s="8"/>
      <c r="H26" s="9"/>
      <c r="I26" s="4">
        <f t="shared" si="2"/>
        <v>0</v>
      </c>
      <c r="J26" s="4">
        <f t="shared" si="3"/>
        <v>0</v>
      </c>
      <c r="K26" s="4">
        <f t="shared" si="4"/>
        <v>0</v>
      </c>
      <c r="L26" s="4">
        <f t="shared" si="5"/>
        <v>0</v>
      </c>
      <c r="M26" s="4">
        <f t="shared" si="6"/>
        <v>0</v>
      </c>
      <c r="N26" s="4">
        <f t="shared" si="7"/>
        <v>0</v>
      </c>
      <c r="O26" s="4">
        <f t="shared" si="8"/>
        <v>0</v>
      </c>
    </row>
    <row r="27" spans="2:15" s="5" customFormat="1" ht="32.4" customHeight="1" x14ac:dyDescent="0.3">
      <c r="B27" s="4" t="str">
        <f t="shared" si="9"/>
        <v/>
      </c>
      <c r="C27" s="8"/>
      <c r="D27" s="9"/>
      <c r="E27" s="10"/>
      <c r="F27" s="8" t="s">
        <v>31</v>
      </c>
      <c r="G27" s="8"/>
      <c r="H27" s="9"/>
      <c r="I27" s="4">
        <f t="shared" si="2"/>
        <v>0</v>
      </c>
      <c r="J27" s="4">
        <f t="shared" si="3"/>
        <v>0</v>
      </c>
      <c r="K27" s="4">
        <f t="shared" si="4"/>
        <v>0</v>
      </c>
      <c r="L27" s="4">
        <f t="shared" si="5"/>
        <v>0</v>
      </c>
      <c r="M27" s="4">
        <f t="shared" si="6"/>
        <v>0</v>
      </c>
      <c r="N27" s="4">
        <f t="shared" si="7"/>
        <v>0</v>
      </c>
      <c r="O27" s="4">
        <f t="shared" si="8"/>
        <v>0</v>
      </c>
    </row>
    <row r="28" spans="2:15" s="5" customFormat="1" ht="32.4" customHeight="1" x14ac:dyDescent="0.3">
      <c r="B28" s="4" t="str">
        <f t="shared" si="9"/>
        <v/>
      </c>
      <c r="C28" s="8"/>
      <c r="D28" s="9"/>
      <c r="E28" s="10"/>
      <c r="F28" s="8" t="s">
        <v>31</v>
      </c>
      <c r="G28" s="8"/>
      <c r="H28" s="9"/>
      <c r="I28" s="4">
        <f t="shared" si="2"/>
        <v>0</v>
      </c>
      <c r="J28" s="4">
        <f t="shared" si="3"/>
        <v>0</v>
      </c>
      <c r="K28" s="4">
        <f t="shared" si="4"/>
        <v>0</v>
      </c>
      <c r="L28" s="4">
        <f t="shared" si="5"/>
        <v>0</v>
      </c>
      <c r="M28" s="4">
        <f t="shared" si="6"/>
        <v>0</v>
      </c>
      <c r="N28" s="4">
        <f t="shared" si="7"/>
        <v>0</v>
      </c>
      <c r="O28" s="4">
        <f t="shared" si="8"/>
        <v>0</v>
      </c>
    </row>
    <row r="29" spans="2:15" s="5" customFormat="1" ht="32.4" customHeight="1" x14ac:dyDescent="0.3">
      <c r="B29" s="4" t="str">
        <f t="shared" si="9"/>
        <v/>
      </c>
      <c r="C29" s="8"/>
      <c r="D29" s="9"/>
      <c r="E29" s="10"/>
      <c r="F29" s="8" t="s">
        <v>31</v>
      </c>
      <c r="G29" s="8"/>
      <c r="H29" s="9"/>
      <c r="I29" s="4">
        <f t="shared" si="2"/>
        <v>0</v>
      </c>
      <c r="J29" s="4">
        <f t="shared" si="3"/>
        <v>0</v>
      </c>
      <c r="K29" s="4">
        <f t="shared" si="4"/>
        <v>0</v>
      </c>
      <c r="L29" s="4">
        <f t="shared" si="5"/>
        <v>0</v>
      </c>
      <c r="M29" s="4">
        <f t="shared" si="6"/>
        <v>0</v>
      </c>
      <c r="N29" s="4">
        <f t="shared" si="7"/>
        <v>0</v>
      </c>
      <c r="O29" s="4">
        <f t="shared" si="8"/>
        <v>0</v>
      </c>
    </row>
    <row r="30" spans="2:15" s="5" customFormat="1" ht="32.4" customHeight="1" x14ac:dyDescent="0.3">
      <c r="B30" s="4" t="str">
        <f t="shared" si="9"/>
        <v/>
      </c>
      <c r="C30" s="8"/>
      <c r="D30" s="9"/>
      <c r="E30" s="10"/>
      <c r="F30" s="8" t="s">
        <v>31</v>
      </c>
      <c r="G30" s="8"/>
      <c r="H30" s="9"/>
      <c r="I30" s="4">
        <f t="shared" si="2"/>
        <v>0</v>
      </c>
      <c r="J30" s="4">
        <f t="shared" si="3"/>
        <v>0</v>
      </c>
      <c r="K30" s="4">
        <f t="shared" si="4"/>
        <v>0</v>
      </c>
      <c r="L30" s="4">
        <f t="shared" si="5"/>
        <v>0</v>
      </c>
      <c r="M30" s="4">
        <f t="shared" si="6"/>
        <v>0</v>
      </c>
      <c r="N30" s="4">
        <f t="shared" si="7"/>
        <v>0</v>
      </c>
      <c r="O30" s="4">
        <f t="shared" si="8"/>
        <v>0</v>
      </c>
    </row>
    <row r="31" spans="2:15" s="5" customFormat="1" ht="32.4" customHeight="1" x14ac:dyDescent="0.3">
      <c r="B31" s="4" t="str">
        <f t="shared" si="9"/>
        <v/>
      </c>
      <c r="C31" s="8"/>
      <c r="D31" s="9"/>
      <c r="E31" s="10"/>
      <c r="F31" s="8" t="s">
        <v>31</v>
      </c>
      <c r="G31" s="8"/>
      <c r="H31" s="9"/>
      <c r="I31" s="4">
        <f t="shared" si="2"/>
        <v>0</v>
      </c>
      <c r="J31" s="4">
        <f t="shared" si="3"/>
        <v>0</v>
      </c>
      <c r="K31" s="4">
        <f t="shared" si="4"/>
        <v>0</v>
      </c>
      <c r="L31" s="4">
        <f t="shared" si="5"/>
        <v>0</v>
      </c>
      <c r="M31" s="4">
        <f t="shared" si="6"/>
        <v>0</v>
      </c>
      <c r="N31" s="4">
        <f t="shared" si="7"/>
        <v>0</v>
      </c>
      <c r="O31" s="4">
        <f t="shared" si="8"/>
        <v>0</v>
      </c>
    </row>
    <row r="32" spans="2:15" s="5" customFormat="1" ht="32.4" customHeight="1" x14ac:dyDescent="0.3">
      <c r="B32" s="4" t="str">
        <f t="shared" si="9"/>
        <v/>
      </c>
      <c r="C32" s="8"/>
      <c r="D32" s="9"/>
      <c r="E32" s="10"/>
      <c r="F32" s="8" t="s">
        <v>31</v>
      </c>
      <c r="G32" s="8"/>
      <c r="H32" s="9"/>
      <c r="I32" s="4">
        <f t="shared" si="2"/>
        <v>0</v>
      </c>
      <c r="J32" s="4">
        <f t="shared" si="3"/>
        <v>0</v>
      </c>
      <c r="K32" s="4">
        <f t="shared" si="4"/>
        <v>0</v>
      </c>
      <c r="L32" s="4">
        <f t="shared" si="5"/>
        <v>0</v>
      </c>
      <c r="M32" s="4">
        <f t="shared" si="6"/>
        <v>0</v>
      </c>
      <c r="N32" s="4">
        <f t="shared" si="7"/>
        <v>0</v>
      </c>
      <c r="O32" s="4">
        <f t="shared" si="8"/>
        <v>0</v>
      </c>
    </row>
    <row r="33" spans="2:15" s="5" customFormat="1" ht="32.4" customHeight="1" x14ac:dyDescent="0.3">
      <c r="B33" s="4" t="str">
        <f t="shared" si="9"/>
        <v/>
      </c>
      <c r="C33" s="8"/>
      <c r="D33" s="9"/>
      <c r="E33" s="10"/>
      <c r="F33" s="8" t="s">
        <v>31</v>
      </c>
      <c r="G33" s="8"/>
      <c r="H33" s="9"/>
      <c r="I33" s="4">
        <f t="shared" si="2"/>
        <v>0</v>
      </c>
      <c r="J33" s="4">
        <f t="shared" si="3"/>
        <v>0</v>
      </c>
      <c r="K33" s="4">
        <f t="shared" si="4"/>
        <v>0</v>
      </c>
      <c r="L33" s="4">
        <f t="shared" si="5"/>
        <v>0</v>
      </c>
      <c r="M33" s="4">
        <f t="shared" si="6"/>
        <v>0</v>
      </c>
      <c r="N33" s="4">
        <f t="shared" si="7"/>
        <v>0</v>
      </c>
      <c r="O33" s="4">
        <f t="shared" si="8"/>
        <v>0</v>
      </c>
    </row>
    <row r="34" spans="2:15" s="5" customFormat="1" ht="32.4" customHeight="1" x14ac:dyDescent="0.3">
      <c r="B34" s="4" t="str">
        <f t="shared" si="9"/>
        <v/>
      </c>
      <c r="C34" s="8"/>
      <c r="D34" s="9"/>
      <c r="E34" s="10"/>
      <c r="F34" s="8" t="s">
        <v>31</v>
      </c>
      <c r="G34" s="8"/>
      <c r="H34" s="9"/>
      <c r="I34" s="4">
        <f t="shared" si="2"/>
        <v>0</v>
      </c>
      <c r="J34" s="4">
        <f t="shared" si="3"/>
        <v>0</v>
      </c>
      <c r="K34" s="4">
        <f t="shared" si="4"/>
        <v>0</v>
      </c>
      <c r="L34" s="4">
        <f t="shared" si="5"/>
        <v>0</v>
      </c>
      <c r="M34" s="4">
        <f t="shared" si="6"/>
        <v>0</v>
      </c>
      <c r="N34" s="4">
        <f t="shared" si="7"/>
        <v>0</v>
      </c>
      <c r="O34" s="4">
        <f t="shared" si="8"/>
        <v>0</v>
      </c>
    </row>
    <row r="35" spans="2:15" s="5" customFormat="1" ht="32.4" customHeight="1" x14ac:dyDescent="0.3">
      <c r="B35" s="4" t="str">
        <f t="shared" si="9"/>
        <v/>
      </c>
      <c r="C35" s="8"/>
      <c r="D35" s="9"/>
      <c r="E35" s="10"/>
      <c r="F35" s="8" t="s">
        <v>31</v>
      </c>
      <c r="G35" s="8"/>
      <c r="H35" s="9"/>
      <c r="I35" s="4">
        <f t="shared" si="2"/>
        <v>0</v>
      </c>
      <c r="J35" s="4">
        <f t="shared" si="3"/>
        <v>0</v>
      </c>
      <c r="K35" s="4">
        <f t="shared" si="4"/>
        <v>0</v>
      </c>
      <c r="L35" s="4">
        <f t="shared" si="5"/>
        <v>0</v>
      </c>
      <c r="M35" s="4">
        <f t="shared" si="6"/>
        <v>0</v>
      </c>
      <c r="N35" s="4">
        <f t="shared" si="7"/>
        <v>0</v>
      </c>
      <c r="O35" s="4">
        <f t="shared" si="8"/>
        <v>0</v>
      </c>
    </row>
    <row r="36" spans="2:15" s="5" customFormat="1" ht="32.4" customHeight="1" x14ac:dyDescent="0.3">
      <c r="B36" s="4" t="str">
        <f t="shared" si="9"/>
        <v/>
      </c>
      <c r="C36" s="8"/>
      <c r="D36" s="9"/>
      <c r="E36" s="10"/>
      <c r="F36" s="8" t="s">
        <v>31</v>
      </c>
      <c r="G36" s="8"/>
      <c r="H36" s="9"/>
      <c r="I36" s="4">
        <f t="shared" si="2"/>
        <v>0</v>
      </c>
      <c r="J36" s="4">
        <f t="shared" si="3"/>
        <v>0</v>
      </c>
      <c r="K36" s="4">
        <f t="shared" si="4"/>
        <v>0</v>
      </c>
      <c r="L36" s="4">
        <f t="shared" si="5"/>
        <v>0</v>
      </c>
      <c r="M36" s="4">
        <f t="shared" si="6"/>
        <v>0</v>
      </c>
      <c r="N36" s="4">
        <f t="shared" si="7"/>
        <v>0</v>
      </c>
      <c r="O36" s="4">
        <f t="shared" si="8"/>
        <v>0</v>
      </c>
    </row>
    <row r="37" spans="2:15" s="5" customFormat="1" ht="32.4" customHeight="1" x14ac:dyDescent="0.3">
      <c r="B37" s="4" t="str">
        <f t="shared" si="9"/>
        <v/>
      </c>
      <c r="C37" s="8"/>
      <c r="D37" s="9"/>
      <c r="E37" s="10"/>
      <c r="F37" s="8" t="s">
        <v>31</v>
      </c>
      <c r="G37" s="8"/>
      <c r="H37" s="9"/>
      <c r="I37" s="4">
        <f t="shared" si="2"/>
        <v>0</v>
      </c>
      <c r="J37" s="4">
        <f t="shared" si="3"/>
        <v>0</v>
      </c>
      <c r="K37" s="4">
        <f t="shared" si="4"/>
        <v>0</v>
      </c>
      <c r="L37" s="4">
        <f t="shared" si="5"/>
        <v>0</v>
      </c>
      <c r="M37" s="4">
        <f t="shared" si="6"/>
        <v>0</v>
      </c>
      <c r="N37" s="4">
        <f t="shared" si="7"/>
        <v>0</v>
      </c>
      <c r="O37" s="4">
        <f t="shared" si="8"/>
        <v>0</v>
      </c>
    </row>
    <row r="38" spans="2:15" s="5" customFormat="1" ht="32.4" customHeight="1" x14ac:dyDescent="0.3">
      <c r="B38" s="4" t="str">
        <f t="shared" si="9"/>
        <v/>
      </c>
      <c r="C38" s="8"/>
      <c r="D38" s="9"/>
      <c r="E38" s="10"/>
      <c r="F38" s="8" t="s">
        <v>31</v>
      </c>
      <c r="G38" s="8"/>
      <c r="H38" s="9"/>
      <c r="I38" s="4">
        <f t="shared" si="2"/>
        <v>0</v>
      </c>
      <c r="J38" s="4">
        <f t="shared" si="3"/>
        <v>0</v>
      </c>
      <c r="K38" s="4">
        <f t="shared" si="4"/>
        <v>0</v>
      </c>
      <c r="L38" s="4">
        <f t="shared" si="5"/>
        <v>0</v>
      </c>
      <c r="M38" s="4">
        <f t="shared" si="6"/>
        <v>0</v>
      </c>
      <c r="N38" s="4">
        <f t="shared" si="7"/>
        <v>0</v>
      </c>
      <c r="O38" s="4">
        <f t="shared" si="8"/>
        <v>0</v>
      </c>
    </row>
    <row r="39" spans="2:15" s="5" customFormat="1" ht="32.4" customHeight="1" x14ac:dyDescent="0.3">
      <c r="B39" s="4" t="str">
        <f t="shared" si="9"/>
        <v/>
      </c>
      <c r="C39" s="8"/>
      <c r="D39" s="9"/>
      <c r="E39" s="10"/>
      <c r="F39" s="8" t="s">
        <v>31</v>
      </c>
      <c r="G39" s="8"/>
      <c r="H39" s="9"/>
      <c r="I39" s="4">
        <f t="shared" si="2"/>
        <v>0</v>
      </c>
      <c r="J39" s="4">
        <f t="shared" si="3"/>
        <v>0</v>
      </c>
      <c r="K39" s="4">
        <f t="shared" si="4"/>
        <v>0</v>
      </c>
      <c r="L39" s="4">
        <f t="shared" si="5"/>
        <v>0</v>
      </c>
      <c r="M39" s="4">
        <f t="shared" si="6"/>
        <v>0</v>
      </c>
      <c r="N39" s="4">
        <f t="shared" si="7"/>
        <v>0</v>
      </c>
      <c r="O39" s="4">
        <f t="shared" si="8"/>
        <v>0</v>
      </c>
    </row>
    <row r="40" spans="2:15" s="5" customFormat="1" ht="32.4" customHeight="1" x14ac:dyDescent="0.3">
      <c r="B40" s="4" t="str">
        <f t="shared" si="9"/>
        <v/>
      </c>
      <c r="C40" s="8"/>
      <c r="D40" s="9"/>
      <c r="E40" s="10"/>
      <c r="F40" s="8" t="s">
        <v>31</v>
      </c>
      <c r="G40" s="8"/>
      <c r="H40" s="9"/>
      <c r="I40" s="4">
        <f t="shared" si="2"/>
        <v>0</v>
      </c>
      <c r="J40" s="4">
        <f t="shared" si="3"/>
        <v>0</v>
      </c>
      <c r="K40" s="4">
        <f t="shared" si="4"/>
        <v>0</v>
      </c>
      <c r="L40" s="4">
        <f t="shared" si="5"/>
        <v>0</v>
      </c>
      <c r="M40" s="4">
        <f t="shared" si="6"/>
        <v>0</v>
      </c>
      <c r="N40" s="4">
        <f t="shared" si="7"/>
        <v>0</v>
      </c>
      <c r="O40" s="4">
        <f t="shared" si="8"/>
        <v>0</v>
      </c>
    </row>
    <row r="41" spans="2:15" s="5" customFormat="1" ht="32.4" customHeight="1" x14ac:dyDescent="0.3">
      <c r="B41" s="4" t="str">
        <f t="shared" si="9"/>
        <v/>
      </c>
      <c r="C41" s="8"/>
      <c r="D41" s="9"/>
      <c r="E41" s="10"/>
      <c r="F41" s="8" t="s">
        <v>31</v>
      </c>
      <c r="G41" s="8"/>
      <c r="H41" s="9"/>
      <c r="I41" s="4">
        <f t="shared" si="2"/>
        <v>0</v>
      </c>
      <c r="J41" s="4">
        <f t="shared" si="3"/>
        <v>0</v>
      </c>
      <c r="K41" s="4">
        <f t="shared" si="4"/>
        <v>0</v>
      </c>
      <c r="L41" s="4">
        <f t="shared" si="5"/>
        <v>0</v>
      </c>
      <c r="M41" s="4">
        <f t="shared" si="6"/>
        <v>0</v>
      </c>
      <c r="N41" s="4">
        <f t="shared" si="7"/>
        <v>0</v>
      </c>
      <c r="O41" s="4">
        <f t="shared" si="8"/>
        <v>0</v>
      </c>
    </row>
    <row r="42" spans="2:15" s="5" customFormat="1" ht="32.4" customHeight="1" x14ac:dyDescent="0.3">
      <c r="B42" s="4" t="str">
        <f t="shared" si="9"/>
        <v/>
      </c>
      <c r="C42" s="8"/>
      <c r="D42" s="9"/>
      <c r="E42" s="10"/>
      <c r="F42" s="8" t="s">
        <v>31</v>
      </c>
      <c r="G42" s="8"/>
      <c r="H42" s="9"/>
      <c r="I42" s="4">
        <f t="shared" si="2"/>
        <v>0</v>
      </c>
      <c r="J42" s="4">
        <f t="shared" si="3"/>
        <v>0</v>
      </c>
      <c r="K42" s="4">
        <f t="shared" si="4"/>
        <v>0</v>
      </c>
      <c r="L42" s="4">
        <f t="shared" si="5"/>
        <v>0</v>
      </c>
      <c r="M42" s="4">
        <f t="shared" si="6"/>
        <v>0</v>
      </c>
      <c r="N42" s="4">
        <f t="shared" si="7"/>
        <v>0</v>
      </c>
      <c r="O42" s="4">
        <f t="shared" si="8"/>
        <v>0</v>
      </c>
    </row>
    <row r="43" spans="2:15" s="5" customFormat="1" ht="32.4" customHeight="1" x14ac:dyDescent="0.3">
      <c r="B43" s="4" t="str">
        <f t="shared" si="9"/>
        <v/>
      </c>
      <c r="C43" s="8"/>
      <c r="D43" s="9"/>
      <c r="E43" s="10"/>
      <c r="F43" s="8" t="s">
        <v>31</v>
      </c>
      <c r="G43" s="8"/>
      <c r="H43" s="9"/>
      <c r="I43" s="4">
        <f t="shared" si="2"/>
        <v>0</v>
      </c>
      <c r="J43" s="4">
        <f t="shared" si="3"/>
        <v>0</v>
      </c>
      <c r="K43" s="4">
        <f t="shared" si="4"/>
        <v>0</v>
      </c>
      <c r="L43" s="4">
        <f t="shared" si="5"/>
        <v>0</v>
      </c>
      <c r="M43" s="4">
        <f t="shared" si="6"/>
        <v>0</v>
      </c>
      <c r="N43" s="4">
        <f t="shared" si="7"/>
        <v>0</v>
      </c>
      <c r="O43" s="4">
        <f t="shared" si="8"/>
        <v>0</v>
      </c>
    </row>
    <row r="44" spans="2:15" s="5" customFormat="1" ht="32.4" customHeight="1" x14ac:dyDescent="0.3">
      <c r="B44" s="4" t="str">
        <f t="shared" si="9"/>
        <v/>
      </c>
      <c r="C44" s="8"/>
      <c r="D44" s="9"/>
      <c r="E44" s="10"/>
      <c r="F44" s="8" t="s">
        <v>31</v>
      </c>
      <c r="G44" s="8"/>
      <c r="H44" s="9"/>
      <c r="I44" s="4">
        <f t="shared" si="2"/>
        <v>0</v>
      </c>
      <c r="J44" s="4">
        <f t="shared" si="3"/>
        <v>0</v>
      </c>
      <c r="K44" s="4">
        <f t="shared" si="4"/>
        <v>0</v>
      </c>
      <c r="L44" s="4">
        <f t="shared" si="5"/>
        <v>0</v>
      </c>
      <c r="M44" s="4">
        <f t="shared" si="6"/>
        <v>0</v>
      </c>
      <c r="N44" s="4">
        <f t="shared" si="7"/>
        <v>0</v>
      </c>
      <c r="O44" s="4">
        <f t="shared" si="8"/>
        <v>0</v>
      </c>
    </row>
    <row r="45" spans="2:15" s="5" customFormat="1" ht="32.4" customHeight="1" x14ac:dyDescent="0.3">
      <c r="B45" s="4" t="str">
        <f t="shared" si="9"/>
        <v/>
      </c>
      <c r="C45" s="8"/>
      <c r="D45" s="9"/>
      <c r="E45" s="10"/>
      <c r="F45" s="8" t="s">
        <v>31</v>
      </c>
      <c r="G45" s="8"/>
      <c r="H45" s="9"/>
      <c r="I45" s="4">
        <f t="shared" si="2"/>
        <v>0</v>
      </c>
      <c r="J45" s="4">
        <f t="shared" si="3"/>
        <v>0</v>
      </c>
      <c r="K45" s="4">
        <f t="shared" si="4"/>
        <v>0</v>
      </c>
      <c r="L45" s="4">
        <f t="shared" si="5"/>
        <v>0</v>
      </c>
      <c r="M45" s="4">
        <f t="shared" si="6"/>
        <v>0</v>
      </c>
      <c r="N45" s="4">
        <f t="shared" si="7"/>
        <v>0</v>
      </c>
      <c r="O45" s="4">
        <f t="shared" si="8"/>
        <v>0</v>
      </c>
    </row>
    <row r="46" spans="2:15" s="5" customFormat="1" ht="32.4" customHeight="1" x14ac:dyDescent="0.3">
      <c r="B46" s="4" t="str">
        <f t="shared" si="9"/>
        <v/>
      </c>
      <c r="C46" s="8"/>
      <c r="D46" s="9"/>
      <c r="E46" s="10"/>
      <c r="F46" s="8" t="s">
        <v>31</v>
      </c>
      <c r="G46" s="8"/>
      <c r="H46" s="9"/>
      <c r="I46" s="4">
        <f t="shared" si="2"/>
        <v>0</v>
      </c>
      <c r="J46" s="4">
        <f t="shared" si="3"/>
        <v>0</v>
      </c>
      <c r="K46" s="4">
        <f t="shared" si="4"/>
        <v>0</v>
      </c>
      <c r="L46" s="4">
        <f t="shared" si="5"/>
        <v>0</v>
      </c>
      <c r="M46" s="4">
        <f t="shared" si="6"/>
        <v>0</v>
      </c>
      <c r="N46" s="4">
        <f t="shared" si="7"/>
        <v>0</v>
      </c>
      <c r="O46" s="4">
        <f t="shared" si="8"/>
        <v>0</v>
      </c>
    </row>
    <row r="47" spans="2:15" s="5" customFormat="1" ht="32.4" customHeight="1" x14ac:dyDescent="0.3">
      <c r="B47" s="4" t="str">
        <f t="shared" si="9"/>
        <v/>
      </c>
      <c r="C47" s="8"/>
      <c r="D47" s="9"/>
      <c r="E47" s="10"/>
      <c r="F47" s="8" t="s">
        <v>31</v>
      </c>
      <c r="G47" s="8"/>
      <c r="H47" s="9"/>
      <c r="I47" s="4">
        <f t="shared" si="2"/>
        <v>0</v>
      </c>
      <c r="J47" s="4">
        <f t="shared" si="3"/>
        <v>0</v>
      </c>
      <c r="K47" s="4">
        <f t="shared" si="4"/>
        <v>0</v>
      </c>
      <c r="L47" s="4">
        <f t="shared" si="5"/>
        <v>0</v>
      </c>
      <c r="M47" s="4">
        <f t="shared" si="6"/>
        <v>0</v>
      </c>
      <c r="N47" s="4">
        <f t="shared" si="7"/>
        <v>0</v>
      </c>
      <c r="O47" s="4">
        <f t="shared" si="8"/>
        <v>0</v>
      </c>
    </row>
    <row r="48" spans="2:15" s="5" customFormat="1" ht="32.4" customHeight="1" x14ac:dyDescent="0.3">
      <c r="B48" s="4" t="str">
        <f t="shared" si="9"/>
        <v/>
      </c>
      <c r="C48" s="8"/>
      <c r="D48" s="9"/>
      <c r="E48" s="10"/>
      <c r="F48" s="8" t="s">
        <v>31</v>
      </c>
      <c r="G48" s="8"/>
      <c r="H48" s="9"/>
      <c r="I48" s="4">
        <f t="shared" si="2"/>
        <v>0</v>
      </c>
      <c r="J48" s="4">
        <f t="shared" si="3"/>
        <v>0</v>
      </c>
      <c r="K48" s="4">
        <f t="shared" si="4"/>
        <v>0</v>
      </c>
      <c r="L48" s="4">
        <f t="shared" si="5"/>
        <v>0</v>
      </c>
      <c r="M48" s="4">
        <f t="shared" si="6"/>
        <v>0</v>
      </c>
      <c r="N48" s="4">
        <f t="shared" si="7"/>
        <v>0</v>
      </c>
      <c r="O48" s="4">
        <f t="shared" si="8"/>
        <v>0</v>
      </c>
    </row>
    <row r="49" spans="2:15" s="5" customFormat="1" ht="32.4" customHeight="1" x14ac:dyDescent="0.3">
      <c r="B49" s="4" t="str">
        <f t="shared" si="9"/>
        <v/>
      </c>
      <c r="C49" s="8"/>
      <c r="D49" s="9"/>
      <c r="E49" s="10"/>
      <c r="F49" s="8" t="s">
        <v>31</v>
      </c>
      <c r="G49" s="8"/>
      <c r="H49" s="9"/>
      <c r="I49" s="4">
        <f t="shared" si="2"/>
        <v>0</v>
      </c>
      <c r="J49" s="4">
        <f t="shared" si="3"/>
        <v>0</v>
      </c>
      <c r="K49" s="4">
        <f t="shared" si="4"/>
        <v>0</v>
      </c>
      <c r="L49" s="4">
        <f t="shared" si="5"/>
        <v>0</v>
      </c>
      <c r="M49" s="4">
        <f t="shared" si="6"/>
        <v>0</v>
      </c>
      <c r="N49" s="4">
        <f t="shared" si="7"/>
        <v>0</v>
      </c>
      <c r="O49" s="4">
        <f t="shared" si="8"/>
        <v>0</v>
      </c>
    </row>
    <row r="50" spans="2:15" s="5" customFormat="1" ht="32.4" customHeight="1" x14ac:dyDescent="0.3">
      <c r="B50" s="4" t="str">
        <f t="shared" si="9"/>
        <v/>
      </c>
      <c r="C50" s="8"/>
      <c r="D50" s="9"/>
      <c r="E50" s="10"/>
      <c r="F50" s="8" t="s">
        <v>31</v>
      </c>
      <c r="G50" s="8"/>
      <c r="H50" s="9"/>
      <c r="I50" s="4">
        <f t="shared" si="2"/>
        <v>0</v>
      </c>
      <c r="J50" s="4">
        <f t="shared" si="3"/>
        <v>0</v>
      </c>
      <c r="K50" s="4">
        <f t="shared" si="4"/>
        <v>0</v>
      </c>
      <c r="L50" s="4">
        <f t="shared" si="5"/>
        <v>0</v>
      </c>
      <c r="M50" s="4">
        <f t="shared" si="6"/>
        <v>0</v>
      </c>
      <c r="N50" s="4">
        <f t="shared" si="7"/>
        <v>0</v>
      </c>
      <c r="O50" s="4">
        <f t="shared" si="8"/>
        <v>0</v>
      </c>
    </row>
    <row r="51" spans="2:15" s="5" customFormat="1" ht="32.4" customHeight="1" x14ac:dyDescent="0.3">
      <c r="B51" s="4" t="str">
        <f t="shared" si="9"/>
        <v/>
      </c>
      <c r="C51" s="8"/>
      <c r="D51" s="9"/>
      <c r="E51" s="10"/>
      <c r="F51" s="8" t="s">
        <v>31</v>
      </c>
      <c r="G51" s="8"/>
      <c r="H51" s="9"/>
      <c r="I51" s="4">
        <f t="shared" si="2"/>
        <v>0</v>
      </c>
      <c r="J51" s="4">
        <f t="shared" si="3"/>
        <v>0</v>
      </c>
      <c r="K51" s="4">
        <f t="shared" si="4"/>
        <v>0</v>
      </c>
      <c r="L51" s="4">
        <f t="shared" si="5"/>
        <v>0</v>
      </c>
      <c r="M51" s="4">
        <f t="shared" si="6"/>
        <v>0</v>
      </c>
      <c r="N51" s="4">
        <f t="shared" si="7"/>
        <v>0</v>
      </c>
      <c r="O51" s="4">
        <f t="shared" si="8"/>
        <v>0</v>
      </c>
    </row>
    <row r="52" spans="2:15" s="5" customFormat="1" ht="32.4" customHeight="1" x14ac:dyDescent="0.3">
      <c r="B52" s="4" t="str">
        <f t="shared" si="9"/>
        <v/>
      </c>
      <c r="C52" s="8"/>
      <c r="D52" s="9"/>
      <c r="E52" s="10"/>
      <c r="F52" s="8" t="s">
        <v>31</v>
      </c>
      <c r="G52" s="8"/>
      <c r="H52" s="9"/>
      <c r="I52" s="4">
        <f t="shared" si="2"/>
        <v>0</v>
      </c>
      <c r="J52" s="4">
        <f t="shared" si="3"/>
        <v>0</v>
      </c>
      <c r="K52" s="4">
        <f t="shared" si="4"/>
        <v>0</v>
      </c>
      <c r="L52" s="4">
        <f t="shared" si="5"/>
        <v>0</v>
      </c>
      <c r="M52" s="4">
        <f t="shared" si="6"/>
        <v>0</v>
      </c>
      <c r="N52" s="4">
        <f t="shared" si="7"/>
        <v>0</v>
      </c>
      <c r="O52" s="4">
        <f t="shared" si="8"/>
        <v>0</v>
      </c>
    </row>
    <row r="53" spans="2:15" s="5" customFormat="1" ht="32.4" customHeight="1" x14ac:dyDescent="0.3">
      <c r="B53" s="4" t="str">
        <f t="shared" si="9"/>
        <v/>
      </c>
      <c r="C53" s="8"/>
      <c r="D53" s="9"/>
      <c r="E53" s="10"/>
      <c r="F53" s="8" t="s">
        <v>31</v>
      </c>
      <c r="G53" s="8"/>
      <c r="H53" s="9"/>
      <c r="I53" s="4">
        <f t="shared" si="2"/>
        <v>0</v>
      </c>
      <c r="J53" s="4">
        <f t="shared" si="3"/>
        <v>0</v>
      </c>
      <c r="K53" s="4">
        <f t="shared" si="4"/>
        <v>0</v>
      </c>
      <c r="L53" s="4">
        <f t="shared" si="5"/>
        <v>0</v>
      </c>
      <c r="M53" s="4">
        <f t="shared" si="6"/>
        <v>0</v>
      </c>
      <c r="N53" s="4">
        <f t="shared" si="7"/>
        <v>0</v>
      </c>
      <c r="O53" s="4">
        <f t="shared" si="8"/>
        <v>0</v>
      </c>
    </row>
    <row r="54" spans="2:15" s="5" customFormat="1" ht="32.4" customHeight="1" x14ac:dyDescent="0.3">
      <c r="B54" s="4" t="str">
        <f t="shared" si="9"/>
        <v/>
      </c>
      <c r="C54" s="8"/>
      <c r="D54" s="9"/>
      <c r="E54" s="10"/>
      <c r="F54" s="8" t="s">
        <v>31</v>
      </c>
      <c r="G54" s="8"/>
      <c r="H54" s="9"/>
      <c r="I54" s="4">
        <f t="shared" si="2"/>
        <v>0</v>
      </c>
      <c r="J54" s="4">
        <f t="shared" si="3"/>
        <v>0</v>
      </c>
      <c r="K54" s="4">
        <f t="shared" si="4"/>
        <v>0</v>
      </c>
      <c r="L54" s="4">
        <f t="shared" si="5"/>
        <v>0</v>
      </c>
      <c r="M54" s="4">
        <f t="shared" si="6"/>
        <v>0</v>
      </c>
      <c r="N54" s="4">
        <f t="shared" si="7"/>
        <v>0</v>
      </c>
      <c r="O54" s="4">
        <f t="shared" si="8"/>
        <v>0</v>
      </c>
    </row>
    <row r="55" spans="2:15" s="5" customFormat="1" ht="32.4" customHeight="1" x14ac:dyDescent="0.3">
      <c r="B55" s="4" t="str">
        <f t="shared" si="9"/>
        <v/>
      </c>
      <c r="C55" s="8"/>
      <c r="D55" s="9"/>
      <c r="E55" s="10"/>
      <c r="F55" s="8" t="s">
        <v>31</v>
      </c>
      <c r="G55" s="8"/>
      <c r="H55" s="9"/>
      <c r="I55" s="4">
        <f t="shared" si="2"/>
        <v>0</v>
      </c>
      <c r="J55" s="4">
        <f t="shared" si="3"/>
        <v>0</v>
      </c>
      <c r="K55" s="4">
        <f t="shared" si="4"/>
        <v>0</v>
      </c>
      <c r="L55" s="4">
        <f t="shared" si="5"/>
        <v>0</v>
      </c>
      <c r="M55" s="4">
        <f t="shared" si="6"/>
        <v>0</v>
      </c>
      <c r="N55" s="4">
        <f t="shared" si="7"/>
        <v>0</v>
      </c>
      <c r="O55" s="4">
        <f t="shared" si="8"/>
        <v>0</v>
      </c>
    </row>
    <row r="56" spans="2:15" s="5" customFormat="1" ht="32.4" customHeight="1" x14ac:dyDescent="0.3">
      <c r="B56" s="4" t="str">
        <f t="shared" si="9"/>
        <v/>
      </c>
      <c r="C56" s="8"/>
      <c r="D56" s="9"/>
      <c r="E56" s="10"/>
      <c r="F56" s="8" t="s">
        <v>31</v>
      </c>
      <c r="G56" s="8"/>
      <c r="H56" s="9"/>
      <c r="I56" s="4">
        <f t="shared" si="2"/>
        <v>0</v>
      </c>
      <c r="J56" s="4">
        <f t="shared" si="3"/>
        <v>0</v>
      </c>
      <c r="K56" s="4">
        <f t="shared" si="4"/>
        <v>0</v>
      </c>
      <c r="L56" s="4">
        <f t="shared" si="5"/>
        <v>0</v>
      </c>
      <c r="M56" s="4">
        <f t="shared" si="6"/>
        <v>0</v>
      </c>
      <c r="N56" s="4">
        <f t="shared" si="7"/>
        <v>0</v>
      </c>
      <c r="O56" s="4">
        <f t="shared" si="8"/>
        <v>0</v>
      </c>
    </row>
    <row r="57" spans="2:15" s="5" customFormat="1" ht="32.4" customHeight="1" x14ac:dyDescent="0.3">
      <c r="B57" s="4" t="str">
        <f t="shared" si="9"/>
        <v/>
      </c>
      <c r="C57" s="8"/>
      <c r="D57" s="9"/>
      <c r="E57" s="10"/>
      <c r="F57" s="8" t="s">
        <v>31</v>
      </c>
      <c r="G57" s="8"/>
      <c r="H57" s="9"/>
      <c r="I57" s="4">
        <f t="shared" si="2"/>
        <v>0</v>
      </c>
      <c r="J57" s="4">
        <f t="shared" si="3"/>
        <v>0</v>
      </c>
      <c r="K57" s="4">
        <f t="shared" si="4"/>
        <v>0</v>
      </c>
      <c r="L57" s="4">
        <f t="shared" si="5"/>
        <v>0</v>
      </c>
      <c r="M57" s="4">
        <f t="shared" si="6"/>
        <v>0</v>
      </c>
      <c r="N57" s="4">
        <f t="shared" si="7"/>
        <v>0</v>
      </c>
      <c r="O57" s="4">
        <f t="shared" si="8"/>
        <v>0</v>
      </c>
    </row>
    <row r="58" spans="2:15" s="5" customFormat="1" ht="32.4" customHeight="1" x14ac:dyDescent="0.3">
      <c r="B58" s="4" t="str">
        <f t="shared" si="9"/>
        <v/>
      </c>
      <c r="C58" s="8"/>
      <c r="D58" s="9"/>
      <c r="E58" s="10"/>
      <c r="F58" s="8" t="s">
        <v>31</v>
      </c>
      <c r="G58" s="8"/>
      <c r="H58" s="9"/>
      <c r="I58" s="4">
        <f t="shared" si="2"/>
        <v>0</v>
      </c>
      <c r="J58" s="4">
        <f t="shared" si="3"/>
        <v>0</v>
      </c>
      <c r="K58" s="4">
        <f t="shared" si="4"/>
        <v>0</v>
      </c>
      <c r="L58" s="4">
        <f t="shared" si="5"/>
        <v>0</v>
      </c>
      <c r="M58" s="4">
        <f t="shared" si="6"/>
        <v>0</v>
      </c>
      <c r="N58" s="4">
        <f t="shared" si="7"/>
        <v>0</v>
      </c>
      <c r="O58" s="4">
        <f t="shared" si="8"/>
        <v>0</v>
      </c>
    </row>
    <row r="59" spans="2:15" s="5" customFormat="1" ht="32.4" customHeight="1" x14ac:dyDescent="0.3">
      <c r="B59" s="4" t="str">
        <f t="shared" si="9"/>
        <v/>
      </c>
      <c r="C59" s="8"/>
      <c r="D59" s="9"/>
      <c r="E59" s="10"/>
      <c r="F59" s="8" t="s">
        <v>31</v>
      </c>
      <c r="G59" s="8"/>
      <c r="H59" s="9"/>
      <c r="I59" s="4">
        <f t="shared" si="2"/>
        <v>0</v>
      </c>
      <c r="J59" s="4">
        <f t="shared" si="3"/>
        <v>0</v>
      </c>
      <c r="K59" s="4">
        <f t="shared" si="4"/>
        <v>0</v>
      </c>
      <c r="L59" s="4">
        <f t="shared" si="5"/>
        <v>0</v>
      </c>
      <c r="M59" s="4">
        <f t="shared" si="6"/>
        <v>0</v>
      </c>
      <c r="N59" s="4">
        <f t="shared" si="7"/>
        <v>0</v>
      </c>
      <c r="O59" s="4">
        <f t="shared" si="8"/>
        <v>0</v>
      </c>
    </row>
    <row r="60" spans="2:15" s="5" customFormat="1" ht="32.4" customHeight="1" x14ac:dyDescent="0.3">
      <c r="B60" s="4" t="str">
        <f t="shared" si="9"/>
        <v/>
      </c>
      <c r="C60" s="8"/>
      <c r="D60" s="9"/>
      <c r="E60" s="10"/>
      <c r="F60" s="8" t="s">
        <v>31</v>
      </c>
      <c r="G60" s="8"/>
      <c r="H60" s="9"/>
      <c r="I60" s="4">
        <f t="shared" si="2"/>
        <v>0</v>
      </c>
      <c r="J60" s="4">
        <f t="shared" si="3"/>
        <v>0</v>
      </c>
      <c r="K60" s="4">
        <f t="shared" si="4"/>
        <v>0</v>
      </c>
      <c r="L60" s="4">
        <f t="shared" si="5"/>
        <v>0</v>
      </c>
      <c r="M60" s="4">
        <f t="shared" si="6"/>
        <v>0</v>
      </c>
      <c r="N60" s="4">
        <f t="shared" si="7"/>
        <v>0</v>
      </c>
      <c r="O60" s="4">
        <f t="shared" si="8"/>
        <v>0</v>
      </c>
    </row>
    <row r="61" spans="2:15" s="5" customFormat="1" ht="32.4" customHeight="1" x14ac:dyDescent="0.3">
      <c r="B61" s="4" t="str">
        <f t="shared" si="9"/>
        <v/>
      </c>
      <c r="C61" s="8"/>
      <c r="D61" s="9"/>
      <c r="E61" s="10"/>
      <c r="F61" s="8" t="s">
        <v>31</v>
      </c>
      <c r="G61" s="8"/>
      <c r="H61" s="9"/>
      <c r="I61" s="4">
        <f t="shared" si="2"/>
        <v>0</v>
      </c>
      <c r="J61" s="4">
        <f t="shared" si="3"/>
        <v>0</v>
      </c>
      <c r="K61" s="4">
        <f t="shared" si="4"/>
        <v>0</v>
      </c>
      <c r="L61" s="4">
        <f t="shared" si="5"/>
        <v>0</v>
      </c>
      <c r="M61" s="4">
        <f t="shared" si="6"/>
        <v>0</v>
      </c>
      <c r="N61" s="4">
        <f t="shared" si="7"/>
        <v>0</v>
      </c>
      <c r="O61" s="4">
        <f t="shared" si="8"/>
        <v>0</v>
      </c>
    </row>
    <row r="62" spans="2:15" s="5" customFormat="1" ht="32.4" customHeight="1" x14ac:dyDescent="0.3">
      <c r="B62" s="4" t="str">
        <f t="shared" si="9"/>
        <v/>
      </c>
      <c r="C62" s="8"/>
      <c r="D62" s="9"/>
      <c r="E62" s="10"/>
      <c r="F62" s="8" t="s">
        <v>31</v>
      </c>
      <c r="G62" s="8"/>
      <c r="H62" s="9"/>
      <c r="I62" s="4">
        <f t="shared" si="2"/>
        <v>0</v>
      </c>
      <c r="J62" s="4">
        <f t="shared" si="3"/>
        <v>0</v>
      </c>
      <c r="K62" s="4">
        <f t="shared" si="4"/>
        <v>0</v>
      </c>
      <c r="L62" s="4">
        <f t="shared" si="5"/>
        <v>0</v>
      </c>
      <c r="M62" s="4">
        <f t="shared" si="6"/>
        <v>0</v>
      </c>
      <c r="N62" s="4">
        <f t="shared" si="7"/>
        <v>0</v>
      </c>
      <c r="O62" s="4">
        <f t="shared" si="8"/>
        <v>0</v>
      </c>
    </row>
    <row r="63" spans="2:15" s="5" customFormat="1" ht="32.4" customHeight="1" x14ac:dyDescent="0.3">
      <c r="B63" s="4" t="str">
        <f t="shared" si="9"/>
        <v/>
      </c>
      <c r="C63" s="8"/>
      <c r="D63" s="9"/>
      <c r="E63" s="10"/>
      <c r="F63" s="8" t="s">
        <v>31</v>
      </c>
      <c r="G63" s="8"/>
      <c r="H63" s="9"/>
      <c r="I63" s="4">
        <f t="shared" si="2"/>
        <v>0</v>
      </c>
      <c r="J63" s="4">
        <f t="shared" si="3"/>
        <v>0</v>
      </c>
      <c r="K63" s="4">
        <f t="shared" si="4"/>
        <v>0</v>
      </c>
      <c r="L63" s="4">
        <f t="shared" si="5"/>
        <v>0</v>
      </c>
      <c r="M63" s="4">
        <f t="shared" si="6"/>
        <v>0</v>
      </c>
      <c r="N63" s="4">
        <f t="shared" si="7"/>
        <v>0</v>
      </c>
      <c r="O63" s="4">
        <f t="shared" si="8"/>
        <v>0</v>
      </c>
    </row>
    <row r="64" spans="2:15" s="5" customFormat="1" ht="32.4" customHeight="1" x14ac:dyDescent="0.3">
      <c r="B64" s="4" t="str">
        <f t="shared" si="9"/>
        <v/>
      </c>
      <c r="C64" s="8"/>
      <c r="D64" s="9"/>
      <c r="E64" s="10"/>
      <c r="F64" s="8" t="s">
        <v>31</v>
      </c>
      <c r="G64" s="8"/>
      <c r="H64" s="9"/>
      <c r="I64" s="4">
        <f t="shared" si="2"/>
        <v>0</v>
      </c>
      <c r="J64" s="4">
        <f t="shared" si="3"/>
        <v>0</v>
      </c>
      <c r="K64" s="4">
        <f t="shared" si="4"/>
        <v>0</v>
      </c>
      <c r="L64" s="4">
        <f t="shared" si="5"/>
        <v>0</v>
      </c>
      <c r="M64" s="4">
        <f t="shared" si="6"/>
        <v>0</v>
      </c>
      <c r="N64" s="4">
        <f t="shared" si="7"/>
        <v>0</v>
      </c>
      <c r="O64" s="4">
        <f t="shared" si="8"/>
        <v>0</v>
      </c>
    </row>
    <row r="65" spans="2:15" s="5" customFormat="1" ht="32.4" customHeight="1" x14ac:dyDescent="0.3">
      <c r="B65" s="4" t="str">
        <f t="shared" si="9"/>
        <v/>
      </c>
      <c r="C65" s="8"/>
      <c r="D65" s="9"/>
      <c r="E65" s="10"/>
      <c r="F65" s="8" t="s">
        <v>31</v>
      </c>
      <c r="G65" s="8"/>
      <c r="H65" s="9"/>
      <c r="I65" s="4">
        <f t="shared" si="2"/>
        <v>0</v>
      </c>
      <c r="J65" s="4">
        <f t="shared" si="3"/>
        <v>0</v>
      </c>
      <c r="K65" s="4">
        <f t="shared" si="4"/>
        <v>0</v>
      </c>
      <c r="L65" s="4">
        <f t="shared" si="5"/>
        <v>0</v>
      </c>
      <c r="M65" s="4">
        <f t="shared" si="6"/>
        <v>0</v>
      </c>
      <c r="N65" s="4">
        <f t="shared" si="7"/>
        <v>0</v>
      </c>
      <c r="O65" s="4">
        <f t="shared" si="8"/>
        <v>0</v>
      </c>
    </row>
    <row r="66" spans="2:15" s="5" customFormat="1" ht="32.4" customHeight="1" x14ac:dyDescent="0.3">
      <c r="B66" s="4" t="str">
        <f t="shared" si="9"/>
        <v/>
      </c>
      <c r="C66" s="8"/>
      <c r="D66" s="9"/>
      <c r="E66" s="10"/>
      <c r="F66" s="8" t="s">
        <v>31</v>
      </c>
      <c r="G66" s="8"/>
      <c r="H66" s="9"/>
      <c r="I66" s="4">
        <f t="shared" si="2"/>
        <v>0</v>
      </c>
      <c r="J66" s="4">
        <f t="shared" si="3"/>
        <v>0</v>
      </c>
      <c r="K66" s="4">
        <f t="shared" si="4"/>
        <v>0</v>
      </c>
      <c r="L66" s="4">
        <f t="shared" si="5"/>
        <v>0</v>
      </c>
      <c r="M66" s="4">
        <f t="shared" si="6"/>
        <v>0</v>
      </c>
      <c r="N66" s="4">
        <f t="shared" si="7"/>
        <v>0</v>
      </c>
      <c r="O66" s="4">
        <f t="shared" si="8"/>
        <v>0</v>
      </c>
    </row>
    <row r="67" spans="2:15" s="5" customFormat="1" ht="32.4" customHeight="1" x14ac:dyDescent="0.3">
      <c r="B67" s="4" t="str">
        <f t="shared" si="9"/>
        <v/>
      </c>
      <c r="C67" s="8"/>
      <c r="D67" s="9"/>
      <c r="E67" s="10"/>
      <c r="F67" s="8" t="s">
        <v>31</v>
      </c>
      <c r="G67" s="8"/>
      <c r="H67" s="9"/>
      <c r="I67" s="4">
        <f t="shared" si="2"/>
        <v>0</v>
      </c>
      <c r="J67" s="4">
        <f t="shared" si="3"/>
        <v>0</v>
      </c>
      <c r="K67" s="4">
        <f t="shared" si="4"/>
        <v>0</v>
      </c>
      <c r="L67" s="4">
        <f t="shared" si="5"/>
        <v>0</v>
      </c>
      <c r="M67" s="4">
        <f t="shared" si="6"/>
        <v>0</v>
      </c>
      <c r="N67" s="4">
        <f t="shared" si="7"/>
        <v>0</v>
      </c>
      <c r="O67" s="4">
        <f t="shared" si="8"/>
        <v>0</v>
      </c>
    </row>
    <row r="68" spans="2:15" s="5" customFormat="1" ht="32.4" customHeight="1" x14ac:dyDescent="0.3">
      <c r="B68" s="4" t="str">
        <f t="shared" si="9"/>
        <v/>
      </c>
      <c r="C68" s="8"/>
      <c r="D68" s="9"/>
      <c r="E68" s="10"/>
      <c r="F68" s="8" t="s">
        <v>31</v>
      </c>
      <c r="G68" s="8"/>
      <c r="H68" s="9"/>
      <c r="I68" s="4">
        <f t="shared" si="2"/>
        <v>0</v>
      </c>
      <c r="J68" s="4">
        <f t="shared" si="3"/>
        <v>0</v>
      </c>
      <c r="K68" s="4">
        <f t="shared" si="4"/>
        <v>0</v>
      </c>
      <c r="L68" s="4">
        <f t="shared" si="5"/>
        <v>0</v>
      </c>
      <c r="M68" s="4">
        <f t="shared" si="6"/>
        <v>0</v>
      </c>
      <c r="N68" s="4">
        <f t="shared" si="7"/>
        <v>0</v>
      </c>
      <c r="O68" s="4">
        <f t="shared" si="8"/>
        <v>0</v>
      </c>
    </row>
    <row r="69" spans="2:15" s="5" customFormat="1" ht="32.4" customHeight="1" x14ac:dyDescent="0.3">
      <c r="B69" s="4" t="str">
        <f t="shared" si="9"/>
        <v/>
      </c>
      <c r="C69" s="8"/>
      <c r="D69" s="9"/>
      <c r="E69" s="10"/>
      <c r="F69" s="8" t="s">
        <v>31</v>
      </c>
      <c r="G69" s="8"/>
      <c r="H69" s="9"/>
      <c r="I69" s="4">
        <f t="shared" si="2"/>
        <v>0</v>
      </c>
      <c r="J69" s="4">
        <f t="shared" si="3"/>
        <v>0</v>
      </c>
      <c r="K69" s="4">
        <f t="shared" si="4"/>
        <v>0</v>
      </c>
      <c r="L69" s="4">
        <f t="shared" si="5"/>
        <v>0</v>
      </c>
      <c r="M69" s="4">
        <f t="shared" si="6"/>
        <v>0</v>
      </c>
      <c r="N69" s="4">
        <f t="shared" si="7"/>
        <v>0</v>
      </c>
      <c r="O69" s="4">
        <f t="shared" si="8"/>
        <v>0</v>
      </c>
    </row>
    <row r="70" spans="2:15" s="5" customFormat="1" ht="32.4" customHeight="1" x14ac:dyDescent="0.3">
      <c r="B70" s="4" t="str">
        <f t="shared" si="9"/>
        <v/>
      </c>
      <c r="C70" s="8"/>
      <c r="D70" s="9"/>
      <c r="E70" s="10"/>
      <c r="F70" s="8" t="s">
        <v>31</v>
      </c>
      <c r="G70" s="8"/>
      <c r="H70" s="9"/>
      <c r="I70" s="4">
        <f t="shared" ref="I70:I133" si="10">IF($G70="Легкая",1,0)-O70</f>
        <v>0</v>
      </c>
      <c r="J70" s="4">
        <f t="shared" si="3"/>
        <v>0</v>
      </c>
      <c r="K70" s="4">
        <f t="shared" si="4"/>
        <v>0</v>
      </c>
      <c r="L70" s="4">
        <f t="shared" si="5"/>
        <v>0</v>
      </c>
      <c r="M70" s="4">
        <f t="shared" si="6"/>
        <v>0</v>
      </c>
      <c r="N70" s="4">
        <f t="shared" si="7"/>
        <v>0</v>
      </c>
      <c r="O70" s="4">
        <f t="shared" ref="O70:O133" si="11">IF(H70&gt;0,1,0)</f>
        <v>0</v>
      </c>
    </row>
    <row r="71" spans="2:15" s="5" customFormat="1" ht="32.4" customHeight="1" x14ac:dyDescent="0.3">
      <c r="B71" s="4" t="str">
        <f t="shared" ref="B71:B134" si="12">IF(E71&gt;0,1+B70,"")</f>
        <v/>
      </c>
      <c r="C71" s="8"/>
      <c r="D71" s="9"/>
      <c r="E71" s="10"/>
      <c r="F71" s="8" t="s">
        <v>31</v>
      </c>
      <c r="G71" s="8"/>
      <c r="H71" s="9"/>
      <c r="I71" s="4">
        <f t="shared" si="10"/>
        <v>0</v>
      </c>
      <c r="J71" s="4">
        <f t="shared" si="3"/>
        <v>0</v>
      </c>
      <c r="K71" s="4">
        <f t="shared" si="4"/>
        <v>0</v>
      </c>
      <c r="L71" s="4">
        <f t="shared" si="5"/>
        <v>0</v>
      </c>
      <c r="M71" s="4">
        <f t="shared" si="6"/>
        <v>0</v>
      </c>
      <c r="N71" s="4">
        <f t="shared" si="7"/>
        <v>0</v>
      </c>
      <c r="O71" s="4">
        <f t="shared" si="11"/>
        <v>0</v>
      </c>
    </row>
    <row r="72" spans="2:15" s="5" customFormat="1" ht="32.4" customHeight="1" x14ac:dyDescent="0.3">
      <c r="B72" s="4" t="str">
        <f t="shared" si="12"/>
        <v/>
      </c>
      <c r="C72" s="8"/>
      <c r="D72" s="9"/>
      <c r="E72" s="10"/>
      <c r="F72" s="8" t="s">
        <v>31</v>
      </c>
      <c r="G72" s="8"/>
      <c r="H72" s="9"/>
      <c r="I72" s="4">
        <f t="shared" si="10"/>
        <v>0</v>
      </c>
      <c r="J72" s="4">
        <f t="shared" si="3"/>
        <v>0</v>
      </c>
      <c r="K72" s="4">
        <f t="shared" si="4"/>
        <v>0</v>
      </c>
      <c r="L72" s="4">
        <f t="shared" si="5"/>
        <v>0</v>
      </c>
      <c r="M72" s="4">
        <f t="shared" si="6"/>
        <v>0</v>
      </c>
      <c r="N72" s="4">
        <f t="shared" si="7"/>
        <v>0</v>
      </c>
      <c r="O72" s="4">
        <f t="shared" si="11"/>
        <v>0</v>
      </c>
    </row>
    <row r="73" spans="2:15" s="5" customFormat="1" ht="32.4" customHeight="1" x14ac:dyDescent="0.3">
      <c r="B73" s="4" t="str">
        <f t="shared" si="12"/>
        <v/>
      </c>
      <c r="C73" s="8"/>
      <c r="D73" s="9"/>
      <c r="E73" s="10"/>
      <c r="F73" s="8" t="s">
        <v>31</v>
      </c>
      <c r="G73" s="8"/>
      <c r="H73" s="9"/>
      <c r="I73" s="4">
        <f t="shared" si="10"/>
        <v>0</v>
      </c>
      <c r="J73" s="4">
        <f t="shared" si="3"/>
        <v>0</v>
      </c>
      <c r="K73" s="4">
        <f t="shared" si="4"/>
        <v>0</v>
      </c>
      <c r="L73" s="4">
        <f t="shared" si="5"/>
        <v>0</v>
      </c>
      <c r="M73" s="4">
        <f t="shared" si="6"/>
        <v>0</v>
      </c>
      <c r="N73" s="4">
        <f t="shared" si="7"/>
        <v>0</v>
      </c>
      <c r="O73" s="4">
        <f t="shared" si="11"/>
        <v>0</v>
      </c>
    </row>
    <row r="74" spans="2:15" s="5" customFormat="1" ht="32.4" customHeight="1" x14ac:dyDescent="0.3">
      <c r="B74" s="4" t="str">
        <f t="shared" si="12"/>
        <v/>
      </c>
      <c r="C74" s="8"/>
      <c r="D74" s="9"/>
      <c r="E74" s="10"/>
      <c r="F74" s="8" t="s">
        <v>31</v>
      </c>
      <c r="G74" s="8"/>
      <c r="H74" s="9"/>
      <c r="I74" s="4">
        <f t="shared" si="10"/>
        <v>0</v>
      </c>
      <c r="J74" s="4">
        <f t="shared" si="3"/>
        <v>0</v>
      </c>
      <c r="K74" s="4">
        <f t="shared" si="4"/>
        <v>0</v>
      </c>
      <c r="L74" s="4">
        <f t="shared" si="5"/>
        <v>0</v>
      </c>
      <c r="M74" s="4">
        <f t="shared" si="6"/>
        <v>0</v>
      </c>
      <c r="N74" s="4">
        <f t="shared" si="7"/>
        <v>0</v>
      </c>
      <c r="O74" s="4">
        <f t="shared" si="11"/>
        <v>0</v>
      </c>
    </row>
    <row r="75" spans="2:15" s="5" customFormat="1" ht="32.4" customHeight="1" x14ac:dyDescent="0.3">
      <c r="B75" s="4" t="str">
        <f t="shared" si="12"/>
        <v/>
      </c>
      <c r="C75" s="8"/>
      <c r="D75" s="9"/>
      <c r="E75" s="10"/>
      <c r="F75" s="8" t="s">
        <v>31</v>
      </c>
      <c r="G75" s="8"/>
      <c r="H75" s="9"/>
      <c r="I75" s="4">
        <f t="shared" si="10"/>
        <v>0</v>
      </c>
      <c r="J75" s="4">
        <f t="shared" si="3"/>
        <v>0</v>
      </c>
      <c r="K75" s="4">
        <f t="shared" si="4"/>
        <v>0</v>
      </c>
      <c r="L75" s="4">
        <f t="shared" si="5"/>
        <v>0</v>
      </c>
      <c r="M75" s="4">
        <f t="shared" si="6"/>
        <v>0</v>
      </c>
      <c r="N75" s="4">
        <f t="shared" si="7"/>
        <v>0</v>
      </c>
      <c r="O75" s="4">
        <f t="shared" si="11"/>
        <v>0</v>
      </c>
    </row>
    <row r="76" spans="2:15" s="5" customFormat="1" ht="32.4" customHeight="1" x14ac:dyDescent="0.3">
      <c r="B76" s="4" t="str">
        <f t="shared" si="12"/>
        <v/>
      </c>
      <c r="C76" s="8"/>
      <c r="D76" s="9"/>
      <c r="E76" s="10"/>
      <c r="F76" s="8" t="s">
        <v>31</v>
      </c>
      <c r="G76" s="8"/>
      <c r="H76" s="9"/>
      <c r="I76" s="4">
        <f t="shared" si="10"/>
        <v>0</v>
      </c>
      <c r="J76" s="4">
        <f t="shared" si="3"/>
        <v>0</v>
      </c>
      <c r="K76" s="4">
        <f t="shared" si="4"/>
        <v>0</v>
      </c>
      <c r="L76" s="4">
        <f t="shared" si="5"/>
        <v>0</v>
      </c>
      <c r="M76" s="4">
        <f t="shared" si="6"/>
        <v>0</v>
      </c>
      <c r="N76" s="4">
        <f t="shared" si="7"/>
        <v>0</v>
      </c>
      <c r="O76" s="4">
        <f t="shared" si="11"/>
        <v>0</v>
      </c>
    </row>
    <row r="77" spans="2:15" s="5" customFormat="1" ht="32.4" customHeight="1" x14ac:dyDescent="0.3">
      <c r="B77" s="4" t="str">
        <f t="shared" si="12"/>
        <v/>
      </c>
      <c r="C77" s="8"/>
      <c r="D77" s="9"/>
      <c r="E77" s="10"/>
      <c r="F77" s="8" t="s">
        <v>31</v>
      </c>
      <c r="G77" s="8"/>
      <c r="H77" s="9"/>
      <c r="I77" s="4">
        <f t="shared" si="10"/>
        <v>0</v>
      </c>
      <c r="J77" s="4">
        <f t="shared" si="3"/>
        <v>0</v>
      </c>
      <c r="K77" s="4">
        <f t="shared" si="4"/>
        <v>0</v>
      </c>
      <c r="L77" s="4">
        <f t="shared" si="5"/>
        <v>0</v>
      </c>
      <c r="M77" s="4">
        <f t="shared" si="6"/>
        <v>0</v>
      </c>
      <c r="N77" s="4">
        <f t="shared" si="7"/>
        <v>0</v>
      </c>
      <c r="O77" s="4">
        <f t="shared" si="11"/>
        <v>0</v>
      </c>
    </row>
    <row r="78" spans="2:15" s="5" customFormat="1" ht="32.4" customHeight="1" x14ac:dyDescent="0.3">
      <c r="B78" s="4" t="str">
        <f t="shared" si="12"/>
        <v/>
      </c>
      <c r="C78" s="8"/>
      <c r="D78" s="9"/>
      <c r="E78" s="10"/>
      <c r="F78" s="8" t="s">
        <v>31</v>
      </c>
      <c r="G78" s="8"/>
      <c r="H78" s="9"/>
      <c r="I78" s="4">
        <f t="shared" si="10"/>
        <v>0</v>
      </c>
      <c r="J78" s="4">
        <f t="shared" si="3"/>
        <v>0</v>
      </c>
      <c r="K78" s="4">
        <f t="shared" si="4"/>
        <v>0</v>
      </c>
      <c r="L78" s="4">
        <f t="shared" si="5"/>
        <v>0</v>
      </c>
      <c r="M78" s="4">
        <f t="shared" si="6"/>
        <v>0</v>
      </c>
      <c r="N78" s="4">
        <f t="shared" si="7"/>
        <v>0</v>
      </c>
      <c r="O78" s="4">
        <f t="shared" si="11"/>
        <v>0</v>
      </c>
    </row>
    <row r="79" spans="2:15" s="5" customFormat="1" ht="32.4" customHeight="1" x14ac:dyDescent="0.3">
      <c r="B79" s="4" t="str">
        <f t="shared" si="12"/>
        <v/>
      </c>
      <c r="C79" s="8"/>
      <c r="D79" s="9"/>
      <c r="E79" s="10"/>
      <c r="F79" s="8" t="s">
        <v>31</v>
      </c>
      <c r="G79" s="8"/>
      <c r="H79" s="9"/>
      <c r="I79" s="4">
        <f t="shared" si="10"/>
        <v>0</v>
      </c>
      <c r="J79" s="4">
        <f t="shared" si="3"/>
        <v>0</v>
      </c>
      <c r="K79" s="4">
        <f t="shared" si="4"/>
        <v>0</v>
      </c>
      <c r="L79" s="4">
        <f t="shared" si="5"/>
        <v>0</v>
      </c>
      <c r="M79" s="4">
        <f t="shared" si="6"/>
        <v>0</v>
      </c>
      <c r="N79" s="4">
        <f t="shared" si="7"/>
        <v>0</v>
      </c>
      <c r="O79" s="4">
        <f t="shared" si="11"/>
        <v>0</v>
      </c>
    </row>
    <row r="80" spans="2:15" s="5" customFormat="1" ht="32.4" customHeight="1" x14ac:dyDescent="0.3">
      <c r="B80" s="4" t="str">
        <f t="shared" si="12"/>
        <v/>
      </c>
      <c r="C80" s="8"/>
      <c r="D80" s="9"/>
      <c r="E80" s="10"/>
      <c r="F80" s="8" t="s">
        <v>31</v>
      </c>
      <c r="G80" s="8"/>
      <c r="H80" s="9"/>
      <c r="I80" s="4">
        <f t="shared" si="10"/>
        <v>0</v>
      </c>
      <c r="J80" s="4">
        <f t="shared" si="3"/>
        <v>0</v>
      </c>
      <c r="K80" s="4">
        <f t="shared" si="4"/>
        <v>0</v>
      </c>
      <c r="L80" s="4">
        <f t="shared" si="5"/>
        <v>0</v>
      </c>
      <c r="M80" s="4">
        <f t="shared" si="6"/>
        <v>0</v>
      </c>
      <c r="N80" s="4">
        <f t="shared" si="7"/>
        <v>0</v>
      </c>
      <c r="O80" s="4">
        <f t="shared" si="11"/>
        <v>0</v>
      </c>
    </row>
    <row r="81" spans="2:15" s="5" customFormat="1" ht="32.4" customHeight="1" x14ac:dyDescent="0.3">
      <c r="B81" s="4" t="str">
        <f t="shared" si="12"/>
        <v/>
      </c>
      <c r="C81" s="8"/>
      <c r="D81" s="9"/>
      <c r="E81" s="10"/>
      <c r="F81" s="8" t="s">
        <v>31</v>
      </c>
      <c r="G81" s="8"/>
      <c r="H81" s="9"/>
      <c r="I81" s="4">
        <f t="shared" si="10"/>
        <v>0</v>
      </c>
      <c r="J81" s="4">
        <f t="shared" si="3"/>
        <v>0</v>
      </c>
      <c r="K81" s="4">
        <f t="shared" si="4"/>
        <v>0</v>
      </c>
      <c r="L81" s="4">
        <f t="shared" si="5"/>
        <v>0</v>
      </c>
      <c r="M81" s="4">
        <f t="shared" si="6"/>
        <v>0</v>
      </c>
      <c r="N81" s="4">
        <f t="shared" si="7"/>
        <v>0</v>
      </c>
      <c r="O81" s="4">
        <f t="shared" si="11"/>
        <v>0</v>
      </c>
    </row>
    <row r="82" spans="2:15" s="5" customFormat="1" ht="32.4" customHeight="1" x14ac:dyDescent="0.3">
      <c r="B82" s="4" t="str">
        <f t="shared" si="12"/>
        <v/>
      </c>
      <c r="C82" s="8"/>
      <c r="D82" s="9"/>
      <c r="E82" s="10"/>
      <c r="F82" s="8" t="s">
        <v>31</v>
      </c>
      <c r="G82" s="8"/>
      <c r="H82" s="9"/>
      <c r="I82" s="4">
        <f t="shared" si="10"/>
        <v>0</v>
      </c>
      <c r="J82" s="4">
        <f t="shared" si="3"/>
        <v>0</v>
      </c>
      <c r="K82" s="4">
        <f t="shared" si="4"/>
        <v>0</v>
      </c>
      <c r="L82" s="4">
        <f t="shared" si="5"/>
        <v>0</v>
      </c>
      <c r="M82" s="4">
        <f t="shared" si="6"/>
        <v>0</v>
      </c>
      <c r="N82" s="4">
        <f t="shared" si="7"/>
        <v>0</v>
      </c>
      <c r="O82" s="4">
        <f t="shared" si="11"/>
        <v>0</v>
      </c>
    </row>
    <row r="83" spans="2:15" s="5" customFormat="1" ht="32.4" customHeight="1" x14ac:dyDescent="0.3">
      <c r="B83" s="4" t="str">
        <f t="shared" si="12"/>
        <v/>
      </c>
      <c r="C83" s="8"/>
      <c r="D83" s="9"/>
      <c r="E83" s="10"/>
      <c r="F83" s="8" t="s">
        <v>31</v>
      </c>
      <c r="G83" s="8"/>
      <c r="H83" s="9"/>
      <c r="I83" s="4">
        <f t="shared" si="10"/>
        <v>0</v>
      </c>
      <c r="J83" s="4">
        <f t="shared" si="3"/>
        <v>0</v>
      </c>
      <c r="K83" s="4">
        <f t="shared" si="4"/>
        <v>0</v>
      </c>
      <c r="L83" s="4">
        <f t="shared" si="5"/>
        <v>0</v>
      </c>
      <c r="M83" s="4">
        <f t="shared" si="6"/>
        <v>0</v>
      </c>
      <c r="N83" s="4">
        <f t="shared" si="7"/>
        <v>0</v>
      </c>
      <c r="O83" s="4">
        <f t="shared" si="11"/>
        <v>0</v>
      </c>
    </row>
    <row r="84" spans="2:15" s="5" customFormat="1" ht="32.4" customHeight="1" x14ac:dyDescent="0.3">
      <c r="B84" s="4" t="str">
        <f t="shared" si="12"/>
        <v/>
      </c>
      <c r="C84" s="8"/>
      <c r="D84" s="9"/>
      <c r="E84" s="10"/>
      <c r="F84" s="8" t="s">
        <v>31</v>
      </c>
      <c r="G84" s="8"/>
      <c r="H84" s="9"/>
      <c r="I84" s="4">
        <f t="shared" si="10"/>
        <v>0</v>
      </c>
      <c r="J84" s="4">
        <f t="shared" si="3"/>
        <v>0</v>
      </c>
      <c r="K84" s="4">
        <f t="shared" si="4"/>
        <v>0</v>
      </c>
      <c r="L84" s="4">
        <f t="shared" si="5"/>
        <v>0</v>
      </c>
      <c r="M84" s="4">
        <f t="shared" si="6"/>
        <v>0</v>
      </c>
      <c r="N84" s="4">
        <f t="shared" si="7"/>
        <v>0</v>
      </c>
      <c r="O84" s="4">
        <f t="shared" si="11"/>
        <v>0</v>
      </c>
    </row>
    <row r="85" spans="2:15" s="5" customFormat="1" ht="32.4" customHeight="1" x14ac:dyDescent="0.3">
      <c r="B85" s="4" t="str">
        <f t="shared" si="12"/>
        <v/>
      </c>
      <c r="C85" s="8"/>
      <c r="D85" s="9"/>
      <c r="E85" s="10"/>
      <c r="F85" s="8" t="s">
        <v>31</v>
      </c>
      <c r="G85" s="8"/>
      <c r="H85" s="9"/>
      <c r="I85" s="4">
        <f t="shared" si="10"/>
        <v>0</v>
      </c>
      <c r="J85" s="4">
        <f t="shared" si="3"/>
        <v>0</v>
      </c>
      <c r="K85" s="4">
        <f t="shared" si="4"/>
        <v>0</v>
      </c>
      <c r="L85" s="4">
        <f t="shared" si="5"/>
        <v>0</v>
      </c>
      <c r="M85" s="4">
        <f t="shared" si="6"/>
        <v>0</v>
      </c>
      <c r="N85" s="4">
        <f t="shared" si="7"/>
        <v>0</v>
      </c>
      <c r="O85" s="4">
        <f t="shared" si="11"/>
        <v>0</v>
      </c>
    </row>
    <row r="86" spans="2:15" s="5" customFormat="1" ht="32.4" customHeight="1" x14ac:dyDescent="0.3">
      <c r="B86" s="4" t="str">
        <f t="shared" si="12"/>
        <v/>
      </c>
      <c r="C86" s="8"/>
      <c r="D86" s="9"/>
      <c r="E86" s="10"/>
      <c r="F86" s="8" t="s">
        <v>31</v>
      </c>
      <c r="G86" s="8"/>
      <c r="H86" s="9"/>
      <c r="I86" s="4">
        <f t="shared" si="10"/>
        <v>0</v>
      </c>
      <c r="J86" s="4">
        <f t="shared" si="3"/>
        <v>0</v>
      </c>
      <c r="K86" s="4">
        <f t="shared" si="4"/>
        <v>0</v>
      </c>
      <c r="L86" s="4">
        <f t="shared" si="5"/>
        <v>0</v>
      </c>
      <c r="M86" s="4">
        <f t="shared" si="6"/>
        <v>0</v>
      </c>
      <c r="N86" s="4">
        <f t="shared" si="7"/>
        <v>0</v>
      </c>
      <c r="O86" s="4">
        <f t="shared" si="11"/>
        <v>0</v>
      </c>
    </row>
    <row r="87" spans="2:15" s="5" customFormat="1" ht="32.4" customHeight="1" x14ac:dyDescent="0.3">
      <c r="B87" s="4" t="str">
        <f t="shared" si="12"/>
        <v/>
      </c>
      <c r="C87" s="8"/>
      <c r="D87" s="9"/>
      <c r="E87" s="10"/>
      <c r="F87" s="8" t="s">
        <v>31</v>
      </c>
      <c r="G87" s="8"/>
      <c r="H87" s="9"/>
      <c r="I87" s="4">
        <f t="shared" si="10"/>
        <v>0</v>
      </c>
      <c r="J87" s="4">
        <f t="shared" si="3"/>
        <v>0</v>
      </c>
      <c r="K87" s="4">
        <f t="shared" si="4"/>
        <v>0</v>
      </c>
      <c r="L87" s="4">
        <f t="shared" si="5"/>
        <v>0</v>
      </c>
      <c r="M87" s="4">
        <f t="shared" si="6"/>
        <v>0</v>
      </c>
      <c r="N87" s="4">
        <f t="shared" si="7"/>
        <v>0</v>
      </c>
      <c r="O87" s="4">
        <f t="shared" si="11"/>
        <v>0</v>
      </c>
    </row>
    <row r="88" spans="2:15" s="5" customFormat="1" ht="32.4" customHeight="1" x14ac:dyDescent="0.3">
      <c r="B88" s="4" t="str">
        <f t="shared" si="12"/>
        <v/>
      </c>
      <c r="C88" s="8"/>
      <c r="D88" s="9"/>
      <c r="E88" s="10"/>
      <c r="F88" s="8" t="s">
        <v>31</v>
      </c>
      <c r="G88" s="8"/>
      <c r="H88" s="9"/>
      <c r="I88" s="4">
        <f t="shared" si="10"/>
        <v>0</v>
      </c>
      <c r="J88" s="4">
        <f t="shared" si="3"/>
        <v>0</v>
      </c>
      <c r="K88" s="4">
        <f t="shared" si="4"/>
        <v>0</v>
      </c>
      <c r="L88" s="4">
        <f t="shared" si="5"/>
        <v>0</v>
      </c>
      <c r="M88" s="4">
        <f t="shared" si="6"/>
        <v>0</v>
      </c>
      <c r="N88" s="4">
        <f t="shared" si="7"/>
        <v>0</v>
      </c>
      <c r="O88" s="4">
        <f t="shared" si="11"/>
        <v>0</v>
      </c>
    </row>
    <row r="89" spans="2:15" s="5" customFormat="1" ht="32.4" customHeight="1" x14ac:dyDescent="0.3">
      <c r="B89" s="4" t="str">
        <f t="shared" si="12"/>
        <v/>
      </c>
      <c r="C89" s="8"/>
      <c r="D89" s="9"/>
      <c r="E89" s="10"/>
      <c r="F89" s="8" t="s">
        <v>31</v>
      </c>
      <c r="G89" s="8"/>
      <c r="H89" s="9"/>
      <c r="I89" s="4">
        <f t="shared" si="10"/>
        <v>0</v>
      </c>
      <c r="J89" s="4">
        <f t="shared" si="3"/>
        <v>0</v>
      </c>
      <c r="K89" s="4">
        <f t="shared" si="4"/>
        <v>0</v>
      </c>
      <c r="L89" s="4">
        <f t="shared" si="5"/>
        <v>0</v>
      </c>
      <c r="M89" s="4">
        <f t="shared" si="6"/>
        <v>0</v>
      </c>
      <c r="N89" s="4">
        <f t="shared" si="7"/>
        <v>0</v>
      </c>
      <c r="O89" s="4">
        <f t="shared" si="11"/>
        <v>0</v>
      </c>
    </row>
    <row r="90" spans="2:15" s="5" customFormat="1" ht="32.4" customHeight="1" x14ac:dyDescent="0.3">
      <c r="B90" s="4" t="str">
        <f t="shared" si="12"/>
        <v/>
      </c>
      <c r="C90" s="8"/>
      <c r="D90" s="9"/>
      <c r="E90" s="10"/>
      <c r="F90" s="8" t="s">
        <v>31</v>
      </c>
      <c r="G90" s="8"/>
      <c r="H90" s="9"/>
      <c r="I90" s="4">
        <f t="shared" si="10"/>
        <v>0</v>
      </c>
      <c r="J90" s="4">
        <f t="shared" si="3"/>
        <v>0</v>
      </c>
      <c r="K90" s="4">
        <f t="shared" si="4"/>
        <v>0</v>
      </c>
      <c r="L90" s="4">
        <f t="shared" si="5"/>
        <v>0</v>
      </c>
      <c r="M90" s="4">
        <f t="shared" si="6"/>
        <v>0</v>
      </c>
      <c r="N90" s="4">
        <f t="shared" si="7"/>
        <v>0</v>
      </c>
      <c r="O90" s="4">
        <f t="shared" si="11"/>
        <v>0</v>
      </c>
    </row>
    <row r="91" spans="2:15" s="5" customFormat="1" ht="32.4" customHeight="1" x14ac:dyDescent="0.3">
      <c r="B91" s="4" t="str">
        <f t="shared" si="12"/>
        <v/>
      </c>
      <c r="C91" s="8"/>
      <c r="D91" s="9"/>
      <c r="E91" s="10"/>
      <c r="F91" s="8" t="s">
        <v>31</v>
      </c>
      <c r="G91" s="8"/>
      <c r="H91" s="9"/>
      <c r="I91" s="4">
        <f t="shared" si="10"/>
        <v>0</v>
      </c>
      <c r="J91" s="4">
        <f t="shared" si="3"/>
        <v>0</v>
      </c>
      <c r="K91" s="4">
        <f t="shared" si="4"/>
        <v>0</v>
      </c>
      <c r="L91" s="4">
        <f t="shared" si="5"/>
        <v>0</v>
      </c>
      <c r="M91" s="4">
        <f t="shared" si="6"/>
        <v>0</v>
      </c>
      <c r="N91" s="4">
        <f t="shared" si="7"/>
        <v>0</v>
      </c>
      <c r="O91" s="4">
        <f t="shared" si="11"/>
        <v>0</v>
      </c>
    </row>
    <row r="92" spans="2:15" s="5" customFormat="1" ht="32.4" customHeight="1" x14ac:dyDescent="0.3">
      <c r="B92" s="4" t="str">
        <f t="shared" si="12"/>
        <v/>
      </c>
      <c r="C92" s="8"/>
      <c r="D92" s="9"/>
      <c r="E92" s="10"/>
      <c r="F92" s="8" t="s">
        <v>31</v>
      </c>
      <c r="G92" s="8"/>
      <c r="H92" s="9"/>
      <c r="I92" s="4">
        <f t="shared" si="10"/>
        <v>0</v>
      </c>
      <c r="J92" s="4">
        <f t="shared" si="3"/>
        <v>0</v>
      </c>
      <c r="K92" s="4">
        <f t="shared" si="4"/>
        <v>0</v>
      </c>
      <c r="L92" s="4">
        <f t="shared" si="5"/>
        <v>0</v>
      </c>
      <c r="M92" s="4">
        <f t="shared" si="6"/>
        <v>0</v>
      </c>
      <c r="N92" s="4">
        <f t="shared" si="7"/>
        <v>0</v>
      </c>
      <c r="O92" s="4">
        <f t="shared" si="11"/>
        <v>0</v>
      </c>
    </row>
    <row r="93" spans="2:15" s="5" customFormat="1" ht="32.4" customHeight="1" x14ac:dyDescent="0.3">
      <c r="B93" s="4" t="str">
        <f t="shared" si="12"/>
        <v/>
      </c>
      <c r="C93" s="8"/>
      <c r="D93" s="9"/>
      <c r="E93" s="10"/>
      <c r="F93" s="8" t="s">
        <v>31</v>
      </c>
      <c r="G93" s="8"/>
      <c r="H93" s="9"/>
      <c r="I93" s="4">
        <f t="shared" si="10"/>
        <v>0</v>
      </c>
      <c r="J93" s="4">
        <f t="shared" si="3"/>
        <v>0</v>
      </c>
      <c r="K93" s="4">
        <f t="shared" si="4"/>
        <v>0</v>
      </c>
      <c r="L93" s="4">
        <f t="shared" si="5"/>
        <v>0</v>
      </c>
      <c r="M93" s="4">
        <f t="shared" si="6"/>
        <v>0</v>
      </c>
      <c r="N93" s="4">
        <f t="shared" si="7"/>
        <v>0</v>
      </c>
      <c r="O93" s="4">
        <f t="shared" si="11"/>
        <v>0</v>
      </c>
    </row>
    <row r="94" spans="2:15" s="5" customFormat="1" ht="32.4" customHeight="1" x14ac:dyDescent="0.3">
      <c r="B94" s="4" t="str">
        <f t="shared" si="12"/>
        <v/>
      </c>
      <c r="C94" s="8"/>
      <c r="D94" s="9"/>
      <c r="E94" s="10"/>
      <c r="F94" s="8" t="s">
        <v>31</v>
      </c>
      <c r="G94" s="8"/>
      <c r="H94" s="9"/>
      <c r="I94" s="4">
        <f t="shared" si="10"/>
        <v>0</v>
      </c>
      <c r="J94" s="4">
        <f t="shared" si="3"/>
        <v>0</v>
      </c>
      <c r="K94" s="4">
        <f t="shared" si="4"/>
        <v>0</v>
      </c>
      <c r="L94" s="4">
        <f t="shared" si="5"/>
        <v>0</v>
      </c>
      <c r="M94" s="4">
        <f t="shared" si="6"/>
        <v>0</v>
      </c>
      <c r="N94" s="4">
        <f t="shared" si="7"/>
        <v>0</v>
      </c>
      <c r="O94" s="4">
        <f t="shared" si="11"/>
        <v>0</v>
      </c>
    </row>
    <row r="95" spans="2:15" s="5" customFormat="1" ht="32.4" customHeight="1" x14ac:dyDescent="0.3">
      <c r="B95" s="4" t="str">
        <f t="shared" si="12"/>
        <v/>
      </c>
      <c r="C95" s="8"/>
      <c r="D95" s="9"/>
      <c r="E95" s="10"/>
      <c r="F95" s="8" t="s">
        <v>31</v>
      </c>
      <c r="G95" s="8"/>
      <c r="H95" s="9"/>
      <c r="I95" s="4">
        <f t="shared" si="10"/>
        <v>0</v>
      </c>
      <c r="J95" s="4">
        <f t="shared" si="3"/>
        <v>0</v>
      </c>
      <c r="K95" s="4">
        <f t="shared" si="4"/>
        <v>0</v>
      </c>
      <c r="L95" s="4">
        <f t="shared" si="5"/>
        <v>0</v>
      </c>
      <c r="M95" s="4">
        <f t="shared" si="6"/>
        <v>0</v>
      </c>
      <c r="N95" s="4">
        <f t="shared" si="7"/>
        <v>0</v>
      </c>
      <c r="O95" s="4">
        <f t="shared" si="11"/>
        <v>0</v>
      </c>
    </row>
    <row r="96" spans="2:15" s="5" customFormat="1" ht="32.4" customHeight="1" x14ac:dyDescent="0.3">
      <c r="B96" s="4" t="str">
        <f t="shared" si="12"/>
        <v/>
      </c>
      <c r="C96" s="8"/>
      <c r="D96" s="9"/>
      <c r="E96" s="10"/>
      <c r="F96" s="8" t="s">
        <v>31</v>
      </c>
      <c r="G96" s="8"/>
      <c r="H96" s="9"/>
      <c r="I96" s="4">
        <f t="shared" si="10"/>
        <v>0</v>
      </c>
      <c r="J96" s="4">
        <f t="shared" si="3"/>
        <v>0</v>
      </c>
      <c r="K96" s="4">
        <f t="shared" si="4"/>
        <v>0</v>
      </c>
      <c r="L96" s="4">
        <f t="shared" si="5"/>
        <v>0</v>
      </c>
      <c r="M96" s="4">
        <f t="shared" si="6"/>
        <v>0</v>
      </c>
      <c r="N96" s="4">
        <f t="shared" si="7"/>
        <v>0</v>
      </c>
      <c r="O96" s="4">
        <f t="shared" si="11"/>
        <v>0</v>
      </c>
    </row>
    <row r="97" spans="2:15" s="5" customFormat="1" ht="32.4" customHeight="1" x14ac:dyDescent="0.3">
      <c r="B97" s="4" t="str">
        <f t="shared" si="12"/>
        <v/>
      </c>
      <c r="C97" s="8"/>
      <c r="D97" s="9"/>
      <c r="E97" s="10"/>
      <c r="F97" s="8" t="s">
        <v>31</v>
      </c>
      <c r="G97" s="8"/>
      <c r="H97" s="9"/>
      <c r="I97" s="4">
        <f t="shared" si="10"/>
        <v>0</v>
      </c>
      <c r="J97" s="4">
        <f t="shared" si="3"/>
        <v>0</v>
      </c>
      <c r="K97" s="4">
        <f t="shared" si="4"/>
        <v>0</v>
      </c>
      <c r="L97" s="4">
        <f t="shared" si="5"/>
        <v>0</v>
      </c>
      <c r="M97" s="4">
        <f t="shared" si="6"/>
        <v>0</v>
      </c>
      <c r="N97" s="4">
        <f t="shared" si="7"/>
        <v>0</v>
      </c>
      <c r="O97" s="4">
        <f t="shared" si="11"/>
        <v>0</v>
      </c>
    </row>
    <row r="98" spans="2:15" s="5" customFormat="1" ht="32.4" customHeight="1" x14ac:dyDescent="0.3">
      <c r="B98" s="4" t="str">
        <f t="shared" si="12"/>
        <v/>
      </c>
      <c r="C98" s="8"/>
      <c r="D98" s="9"/>
      <c r="E98" s="10"/>
      <c r="F98" s="8" t="s">
        <v>31</v>
      </c>
      <c r="G98" s="8"/>
      <c r="H98" s="9"/>
      <c r="I98" s="4">
        <f t="shared" si="10"/>
        <v>0</v>
      </c>
      <c r="J98" s="4">
        <f t="shared" si="3"/>
        <v>0</v>
      </c>
      <c r="K98" s="4">
        <f t="shared" si="4"/>
        <v>0</v>
      </c>
      <c r="L98" s="4">
        <f t="shared" si="5"/>
        <v>0</v>
      </c>
      <c r="M98" s="4">
        <f t="shared" si="6"/>
        <v>0</v>
      </c>
      <c r="N98" s="4">
        <f t="shared" si="7"/>
        <v>0</v>
      </c>
      <c r="O98" s="4">
        <f t="shared" si="11"/>
        <v>0</v>
      </c>
    </row>
    <row r="99" spans="2:15" s="5" customFormat="1" ht="32.4" customHeight="1" x14ac:dyDescent="0.3">
      <c r="B99" s="4" t="str">
        <f t="shared" si="12"/>
        <v/>
      </c>
      <c r="C99" s="8"/>
      <c r="D99" s="9"/>
      <c r="E99" s="10"/>
      <c r="F99" s="8" t="s">
        <v>31</v>
      </c>
      <c r="G99" s="8"/>
      <c r="H99" s="9"/>
      <c r="I99" s="4">
        <f t="shared" si="10"/>
        <v>0</v>
      </c>
      <c r="J99" s="4">
        <f t="shared" si="3"/>
        <v>0</v>
      </c>
      <c r="K99" s="4">
        <f t="shared" si="4"/>
        <v>0</v>
      </c>
      <c r="L99" s="4">
        <f t="shared" si="5"/>
        <v>0</v>
      </c>
      <c r="M99" s="4">
        <f t="shared" si="6"/>
        <v>0</v>
      </c>
      <c r="N99" s="4">
        <f t="shared" si="7"/>
        <v>0</v>
      </c>
      <c r="O99" s="4">
        <f t="shared" si="11"/>
        <v>0</v>
      </c>
    </row>
    <row r="100" spans="2:15" s="5" customFormat="1" ht="32.4" customHeight="1" x14ac:dyDescent="0.3">
      <c r="B100" s="4" t="str">
        <f t="shared" si="12"/>
        <v/>
      </c>
      <c r="C100" s="8"/>
      <c r="D100" s="9"/>
      <c r="E100" s="10"/>
      <c r="F100" s="8" t="s">
        <v>31</v>
      </c>
      <c r="G100" s="8"/>
      <c r="H100" s="9"/>
      <c r="I100" s="4">
        <f t="shared" si="10"/>
        <v>0</v>
      </c>
      <c r="J100" s="4">
        <f t="shared" si="3"/>
        <v>0</v>
      </c>
      <c r="K100" s="4">
        <f t="shared" si="4"/>
        <v>0</v>
      </c>
      <c r="L100" s="4">
        <f t="shared" si="5"/>
        <v>0</v>
      </c>
      <c r="M100" s="4">
        <f t="shared" si="6"/>
        <v>0</v>
      </c>
      <c r="N100" s="4">
        <f t="shared" si="7"/>
        <v>0</v>
      </c>
      <c r="O100" s="4">
        <f t="shared" si="11"/>
        <v>0</v>
      </c>
    </row>
    <row r="101" spans="2:15" s="5" customFormat="1" ht="32.4" customHeight="1" x14ac:dyDescent="0.3">
      <c r="B101" s="4" t="str">
        <f t="shared" si="12"/>
        <v/>
      </c>
      <c r="C101" s="8"/>
      <c r="D101" s="9"/>
      <c r="E101" s="10"/>
      <c r="F101" s="8" t="s">
        <v>31</v>
      </c>
      <c r="G101" s="8"/>
      <c r="H101" s="9"/>
      <c r="I101" s="4">
        <f t="shared" si="10"/>
        <v>0</v>
      </c>
      <c r="J101" s="4">
        <f t="shared" si="3"/>
        <v>0</v>
      </c>
      <c r="K101" s="4">
        <f t="shared" si="4"/>
        <v>0</v>
      </c>
      <c r="L101" s="4">
        <f t="shared" si="5"/>
        <v>0</v>
      </c>
      <c r="M101" s="4">
        <f t="shared" si="6"/>
        <v>0</v>
      </c>
      <c r="N101" s="4">
        <f t="shared" si="7"/>
        <v>0</v>
      </c>
      <c r="O101" s="4">
        <f t="shared" si="11"/>
        <v>0</v>
      </c>
    </row>
    <row r="102" spans="2:15" s="5" customFormat="1" ht="32.4" customHeight="1" x14ac:dyDescent="0.3">
      <c r="B102" s="4" t="str">
        <f t="shared" si="12"/>
        <v/>
      </c>
      <c r="C102" s="8"/>
      <c r="D102" s="9"/>
      <c r="E102" s="10"/>
      <c r="F102" s="8" t="s">
        <v>31</v>
      </c>
      <c r="G102" s="8"/>
      <c r="H102" s="9"/>
      <c r="I102" s="4">
        <f t="shared" si="10"/>
        <v>0</v>
      </c>
      <c r="J102" s="4">
        <f t="shared" si="3"/>
        <v>0</v>
      </c>
      <c r="K102" s="4">
        <f t="shared" si="4"/>
        <v>0</v>
      </c>
      <c r="L102" s="4">
        <f t="shared" si="5"/>
        <v>0</v>
      </c>
      <c r="M102" s="4">
        <f t="shared" si="6"/>
        <v>0</v>
      </c>
      <c r="N102" s="4">
        <f t="shared" si="7"/>
        <v>0</v>
      </c>
      <c r="O102" s="4">
        <f t="shared" si="11"/>
        <v>0</v>
      </c>
    </row>
    <row r="103" spans="2:15" s="5" customFormat="1" ht="32.4" customHeight="1" x14ac:dyDescent="0.3">
      <c r="B103" s="4" t="str">
        <f t="shared" si="12"/>
        <v/>
      </c>
      <c r="C103" s="8"/>
      <c r="D103" s="9"/>
      <c r="E103" s="10"/>
      <c r="F103" s="8" t="s">
        <v>31</v>
      </c>
      <c r="G103" s="8"/>
      <c r="H103" s="9"/>
      <c r="I103" s="4">
        <f t="shared" si="10"/>
        <v>0</v>
      </c>
      <c r="J103" s="4">
        <f t="shared" si="3"/>
        <v>0</v>
      </c>
      <c r="K103" s="4">
        <f t="shared" si="4"/>
        <v>0</v>
      </c>
      <c r="L103" s="4">
        <f t="shared" si="5"/>
        <v>0</v>
      </c>
      <c r="M103" s="4">
        <f t="shared" si="6"/>
        <v>0</v>
      </c>
      <c r="N103" s="4">
        <f t="shared" si="7"/>
        <v>0</v>
      </c>
      <c r="O103" s="4">
        <f t="shared" si="11"/>
        <v>0</v>
      </c>
    </row>
    <row r="104" spans="2:15" s="5" customFormat="1" ht="32.4" customHeight="1" x14ac:dyDescent="0.3">
      <c r="B104" s="4" t="str">
        <f t="shared" si="12"/>
        <v/>
      </c>
      <c r="C104" s="8"/>
      <c r="D104" s="9"/>
      <c r="E104" s="10"/>
      <c r="F104" s="8" t="s">
        <v>31</v>
      </c>
      <c r="G104" s="8"/>
      <c r="H104" s="9"/>
      <c r="I104" s="4">
        <f t="shared" si="10"/>
        <v>0</v>
      </c>
      <c r="J104" s="4">
        <f t="shared" si="3"/>
        <v>0</v>
      </c>
      <c r="K104" s="4">
        <f t="shared" si="4"/>
        <v>0</v>
      </c>
      <c r="L104" s="4">
        <f t="shared" si="5"/>
        <v>0</v>
      </c>
      <c r="M104" s="4">
        <f t="shared" si="6"/>
        <v>0</v>
      </c>
      <c r="N104" s="4">
        <f t="shared" si="7"/>
        <v>0</v>
      </c>
      <c r="O104" s="4">
        <f t="shared" si="11"/>
        <v>0</v>
      </c>
    </row>
    <row r="105" spans="2:15" s="5" customFormat="1" ht="32.4" customHeight="1" x14ac:dyDescent="0.3">
      <c r="B105" s="4" t="str">
        <f t="shared" si="12"/>
        <v/>
      </c>
      <c r="C105" s="8"/>
      <c r="D105" s="9"/>
      <c r="E105" s="10"/>
      <c r="F105" s="8" t="s">
        <v>31</v>
      </c>
      <c r="G105" s="8"/>
      <c r="H105" s="9"/>
      <c r="I105" s="4">
        <f t="shared" si="10"/>
        <v>0</v>
      </c>
      <c r="J105" s="4">
        <f t="shared" si="3"/>
        <v>0</v>
      </c>
      <c r="K105" s="4">
        <f t="shared" si="4"/>
        <v>0</v>
      </c>
      <c r="L105" s="4">
        <f t="shared" si="5"/>
        <v>0</v>
      </c>
      <c r="M105" s="4">
        <f t="shared" si="6"/>
        <v>0</v>
      </c>
      <c r="N105" s="4">
        <f t="shared" si="7"/>
        <v>0</v>
      </c>
      <c r="O105" s="4">
        <f t="shared" si="11"/>
        <v>0</v>
      </c>
    </row>
    <row r="106" spans="2:15" s="5" customFormat="1" ht="32.4" customHeight="1" x14ac:dyDescent="0.3">
      <c r="B106" s="4" t="str">
        <f t="shared" si="12"/>
        <v/>
      </c>
      <c r="C106" s="8"/>
      <c r="D106" s="9"/>
      <c r="E106" s="10"/>
      <c r="F106" s="8" t="s">
        <v>31</v>
      </c>
      <c r="G106" s="8"/>
      <c r="H106" s="9"/>
      <c r="I106" s="4">
        <f t="shared" si="10"/>
        <v>0</v>
      </c>
      <c r="J106" s="4">
        <f t="shared" si="3"/>
        <v>0</v>
      </c>
      <c r="K106" s="4">
        <f t="shared" si="4"/>
        <v>0</v>
      </c>
      <c r="L106" s="4">
        <f t="shared" si="5"/>
        <v>0</v>
      </c>
      <c r="M106" s="4">
        <f t="shared" si="6"/>
        <v>0</v>
      </c>
      <c r="N106" s="4">
        <f t="shared" si="7"/>
        <v>0</v>
      </c>
      <c r="O106" s="4">
        <f t="shared" si="11"/>
        <v>0</v>
      </c>
    </row>
    <row r="107" spans="2:15" s="5" customFormat="1" ht="32.4" customHeight="1" x14ac:dyDescent="0.3">
      <c r="B107" s="4" t="str">
        <f t="shared" si="12"/>
        <v/>
      </c>
      <c r="C107" s="8"/>
      <c r="D107" s="9"/>
      <c r="E107" s="10"/>
      <c r="F107" s="8" t="s">
        <v>31</v>
      </c>
      <c r="G107" s="8"/>
      <c r="H107" s="9"/>
      <c r="I107" s="4">
        <f t="shared" si="10"/>
        <v>0</v>
      </c>
      <c r="J107" s="4">
        <f t="shared" si="3"/>
        <v>0</v>
      </c>
      <c r="K107" s="4">
        <f t="shared" si="4"/>
        <v>0</v>
      </c>
      <c r="L107" s="4">
        <f t="shared" si="5"/>
        <v>0</v>
      </c>
      <c r="M107" s="4">
        <f t="shared" si="6"/>
        <v>0</v>
      </c>
      <c r="N107" s="4">
        <f t="shared" si="7"/>
        <v>0</v>
      </c>
      <c r="O107" s="4">
        <f t="shared" si="11"/>
        <v>0</v>
      </c>
    </row>
    <row r="108" spans="2:15" s="5" customFormat="1" ht="32.4" customHeight="1" x14ac:dyDescent="0.3">
      <c r="B108" s="4" t="str">
        <f t="shared" si="12"/>
        <v/>
      </c>
      <c r="C108" s="8"/>
      <c r="D108" s="9"/>
      <c r="E108" s="10"/>
      <c r="F108" s="8" t="s">
        <v>31</v>
      </c>
      <c r="G108" s="8"/>
      <c r="H108" s="9"/>
      <c r="I108" s="4">
        <f t="shared" si="10"/>
        <v>0</v>
      </c>
      <c r="J108" s="4">
        <f t="shared" si="3"/>
        <v>0</v>
      </c>
      <c r="K108" s="4">
        <f t="shared" si="4"/>
        <v>0</v>
      </c>
      <c r="L108" s="4">
        <f t="shared" si="5"/>
        <v>0</v>
      </c>
      <c r="M108" s="4">
        <f t="shared" si="6"/>
        <v>0</v>
      </c>
      <c r="N108" s="4">
        <f t="shared" si="7"/>
        <v>0</v>
      </c>
      <c r="O108" s="4">
        <f t="shared" si="11"/>
        <v>0</v>
      </c>
    </row>
    <row r="109" spans="2:15" s="5" customFormat="1" ht="32.4" customHeight="1" x14ac:dyDescent="0.3">
      <c r="B109" s="4" t="str">
        <f t="shared" si="12"/>
        <v/>
      </c>
      <c r="C109" s="8"/>
      <c r="D109" s="9"/>
      <c r="E109" s="10"/>
      <c r="F109" s="8" t="s">
        <v>31</v>
      </c>
      <c r="G109" s="8"/>
      <c r="H109" s="9"/>
      <c r="I109" s="4">
        <f t="shared" si="10"/>
        <v>0</v>
      </c>
      <c r="J109" s="4">
        <f t="shared" si="3"/>
        <v>0</v>
      </c>
      <c r="K109" s="4">
        <f t="shared" si="4"/>
        <v>0</v>
      </c>
      <c r="L109" s="4">
        <f t="shared" si="5"/>
        <v>0</v>
      </c>
      <c r="M109" s="4">
        <f t="shared" si="6"/>
        <v>0</v>
      </c>
      <c r="N109" s="4">
        <f t="shared" si="7"/>
        <v>0</v>
      </c>
      <c r="O109" s="4">
        <f t="shared" si="11"/>
        <v>0</v>
      </c>
    </row>
    <row r="110" spans="2:15" s="5" customFormat="1" ht="32.4" customHeight="1" x14ac:dyDescent="0.3">
      <c r="B110" s="4" t="str">
        <f t="shared" si="12"/>
        <v/>
      </c>
      <c r="C110" s="8"/>
      <c r="D110" s="9"/>
      <c r="E110" s="10"/>
      <c r="F110" s="8" t="s">
        <v>31</v>
      </c>
      <c r="G110" s="8"/>
      <c r="H110" s="9"/>
      <c r="I110" s="4">
        <f t="shared" si="10"/>
        <v>0</v>
      </c>
      <c r="J110" s="4">
        <f t="shared" si="3"/>
        <v>0</v>
      </c>
      <c r="K110" s="4">
        <f t="shared" si="4"/>
        <v>0</v>
      </c>
      <c r="L110" s="4">
        <f t="shared" si="5"/>
        <v>0</v>
      </c>
      <c r="M110" s="4">
        <f t="shared" si="6"/>
        <v>0</v>
      </c>
      <c r="N110" s="4">
        <f t="shared" si="7"/>
        <v>0</v>
      </c>
      <c r="O110" s="4">
        <f t="shared" si="11"/>
        <v>0</v>
      </c>
    </row>
    <row r="111" spans="2:15" s="5" customFormat="1" ht="32.4" customHeight="1" x14ac:dyDescent="0.3">
      <c r="B111" s="4" t="str">
        <f t="shared" si="12"/>
        <v/>
      </c>
      <c r="C111" s="8"/>
      <c r="D111" s="9"/>
      <c r="E111" s="10"/>
      <c r="F111" s="8" t="s">
        <v>31</v>
      </c>
      <c r="G111" s="8"/>
      <c r="H111" s="9"/>
      <c r="I111" s="4">
        <f t="shared" si="10"/>
        <v>0</v>
      </c>
      <c r="J111" s="4">
        <f t="shared" si="3"/>
        <v>0</v>
      </c>
      <c r="K111" s="4">
        <f t="shared" si="4"/>
        <v>0</v>
      </c>
      <c r="L111" s="4">
        <f t="shared" si="5"/>
        <v>0</v>
      </c>
      <c r="M111" s="4">
        <f t="shared" si="6"/>
        <v>0</v>
      </c>
      <c r="N111" s="4">
        <f t="shared" si="7"/>
        <v>0</v>
      </c>
      <c r="O111" s="4">
        <f t="shared" si="11"/>
        <v>0</v>
      </c>
    </row>
    <row r="112" spans="2:15" s="5" customFormat="1" ht="32.4" customHeight="1" x14ac:dyDescent="0.3">
      <c r="B112" s="4" t="str">
        <f t="shared" si="12"/>
        <v/>
      </c>
      <c r="C112" s="8"/>
      <c r="D112" s="9"/>
      <c r="E112" s="10"/>
      <c r="F112" s="8" t="s">
        <v>31</v>
      </c>
      <c r="G112" s="8"/>
      <c r="H112" s="9"/>
      <c r="I112" s="4">
        <f t="shared" si="10"/>
        <v>0</v>
      </c>
      <c r="J112" s="4">
        <f t="shared" si="3"/>
        <v>0</v>
      </c>
      <c r="K112" s="4">
        <f t="shared" si="4"/>
        <v>0</v>
      </c>
      <c r="L112" s="4">
        <f t="shared" si="5"/>
        <v>0</v>
      </c>
      <c r="M112" s="4">
        <f t="shared" si="6"/>
        <v>0</v>
      </c>
      <c r="N112" s="4">
        <f t="shared" si="7"/>
        <v>0</v>
      </c>
      <c r="O112" s="4">
        <f t="shared" si="11"/>
        <v>0</v>
      </c>
    </row>
    <row r="113" spans="2:15" s="5" customFormat="1" ht="32.4" customHeight="1" x14ac:dyDescent="0.3">
      <c r="B113" s="4" t="str">
        <f t="shared" si="12"/>
        <v/>
      </c>
      <c r="C113" s="8"/>
      <c r="D113" s="9"/>
      <c r="E113" s="10"/>
      <c r="F113" s="8" t="s">
        <v>31</v>
      </c>
      <c r="G113" s="8"/>
      <c r="H113" s="9"/>
      <c r="I113" s="4">
        <f t="shared" si="10"/>
        <v>0</v>
      </c>
      <c r="J113" s="4">
        <f t="shared" si="3"/>
        <v>0</v>
      </c>
      <c r="K113" s="4">
        <f t="shared" si="4"/>
        <v>0</v>
      </c>
      <c r="L113" s="4">
        <f t="shared" si="5"/>
        <v>0</v>
      </c>
      <c r="M113" s="4">
        <f t="shared" si="6"/>
        <v>0</v>
      </c>
      <c r="N113" s="4">
        <f t="shared" si="7"/>
        <v>0</v>
      </c>
      <c r="O113" s="4">
        <f t="shared" si="11"/>
        <v>0</v>
      </c>
    </row>
    <row r="114" spans="2:15" s="5" customFormat="1" ht="32.4" customHeight="1" x14ac:dyDescent="0.3">
      <c r="B114" s="4" t="str">
        <f t="shared" si="12"/>
        <v/>
      </c>
      <c r="C114" s="8"/>
      <c r="D114" s="9"/>
      <c r="E114" s="10"/>
      <c r="F114" s="8" t="s">
        <v>31</v>
      </c>
      <c r="G114" s="8"/>
      <c r="H114" s="9"/>
      <c r="I114" s="4">
        <f t="shared" si="10"/>
        <v>0</v>
      </c>
      <c r="J114" s="4">
        <f t="shared" si="3"/>
        <v>0</v>
      </c>
      <c r="K114" s="4">
        <f t="shared" si="4"/>
        <v>0</v>
      </c>
      <c r="L114" s="4">
        <f t="shared" si="5"/>
        <v>0</v>
      </c>
      <c r="M114" s="4">
        <f t="shared" si="6"/>
        <v>0</v>
      </c>
      <c r="N114" s="4">
        <f t="shared" si="7"/>
        <v>0</v>
      </c>
      <c r="O114" s="4">
        <f t="shared" si="11"/>
        <v>0</v>
      </c>
    </row>
    <row r="115" spans="2:15" s="5" customFormat="1" ht="32.4" customHeight="1" x14ac:dyDescent="0.3">
      <c r="B115" s="4" t="str">
        <f t="shared" si="12"/>
        <v/>
      </c>
      <c r="C115" s="8"/>
      <c r="D115" s="9"/>
      <c r="E115" s="10"/>
      <c r="F115" s="8" t="s">
        <v>31</v>
      </c>
      <c r="G115" s="8"/>
      <c r="H115" s="9"/>
      <c r="I115" s="4">
        <f t="shared" si="10"/>
        <v>0</v>
      </c>
      <c r="J115" s="4">
        <f t="shared" si="3"/>
        <v>0</v>
      </c>
      <c r="K115" s="4">
        <f t="shared" si="4"/>
        <v>0</v>
      </c>
      <c r="L115" s="4">
        <f t="shared" si="5"/>
        <v>0</v>
      </c>
      <c r="M115" s="4">
        <f t="shared" si="6"/>
        <v>0</v>
      </c>
      <c r="N115" s="4">
        <f t="shared" si="7"/>
        <v>0</v>
      </c>
      <c r="O115" s="4">
        <f t="shared" si="11"/>
        <v>0</v>
      </c>
    </row>
    <row r="116" spans="2:15" s="5" customFormat="1" ht="32.4" customHeight="1" x14ac:dyDescent="0.3">
      <c r="B116" s="4" t="str">
        <f t="shared" si="12"/>
        <v/>
      </c>
      <c r="C116" s="8"/>
      <c r="D116" s="9"/>
      <c r="E116" s="10"/>
      <c r="F116" s="8" t="s">
        <v>31</v>
      </c>
      <c r="G116" s="8"/>
      <c r="H116" s="9"/>
      <c r="I116" s="4">
        <f t="shared" si="10"/>
        <v>0</v>
      </c>
      <c r="J116" s="4">
        <f t="shared" si="3"/>
        <v>0</v>
      </c>
      <c r="K116" s="4">
        <f t="shared" si="4"/>
        <v>0</v>
      </c>
      <c r="L116" s="4">
        <f t="shared" si="5"/>
        <v>0</v>
      </c>
      <c r="M116" s="4">
        <f t="shared" si="6"/>
        <v>0</v>
      </c>
      <c r="N116" s="4">
        <f t="shared" si="7"/>
        <v>0</v>
      </c>
      <c r="O116" s="4">
        <f t="shared" si="11"/>
        <v>0</v>
      </c>
    </row>
    <row r="117" spans="2:15" s="5" customFormat="1" ht="32.4" customHeight="1" x14ac:dyDescent="0.3">
      <c r="B117" s="4" t="str">
        <f t="shared" si="12"/>
        <v/>
      </c>
      <c r="C117" s="8"/>
      <c r="D117" s="9"/>
      <c r="E117" s="10"/>
      <c r="F117" s="8" t="s">
        <v>31</v>
      </c>
      <c r="G117" s="8"/>
      <c r="H117" s="9"/>
      <c r="I117" s="4">
        <f t="shared" si="10"/>
        <v>0</v>
      </c>
      <c r="J117" s="4">
        <f t="shared" si="3"/>
        <v>0</v>
      </c>
      <c r="K117" s="4">
        <f t="shared" si="4"/>
        <v>0</v>
      </c>
      <c r="L117" s="4">
        <f t="shared" si="5"/>
        <v>0</v>
      </c>
      <c r="M117" s="4">
        <f t="shared" si="6"/>
        <v>0</v>
      </c>
      <c r="N117" s="4">
        <f t="shared" si="7"/>
        <v>0</v>
      </c>
      <c r="O117" s="4">
        <f t="shared" si="11"/>
        <v>0</v>
      </c>
    </row>
    <row r="118" spans="2:15" s="5" customFormat="1" ht="32.4" customHeight="1" x14ac:dyDescent="0.3">
      <c r="B118" s="4" t="str">
        <f t="shared" si="12"/>
        <v/>
      </c>
      <c r="C118" s="8"/>
      <c r="D118" s="9"/>
      <c r="E118" s="10"/>
      <c r="F118" s="8" t="s">
        <v>31</v>
      </c>
      <c r="G118" s="8"/>
      <c r="H118" s="9"/>
      <c r="I118" s="4">
        <f t="shared" si="10"/>
        <v>0</v>
      </c>
      <c r="J118" s="4">
        <f t="shared" si="3"/>
        <v>0</v>
      </c>
      <c r="K118" s="4">
        <f t="shared" si="4"/>
        <v>0</v>
      </c>
      <c r="L118" s="4">
        <f t="shared" si="5"/>
        <v>0</v>
      </c>
      <c r="M118" s="4">
        <f t="shared" si="6"/>
        <v>0</v>
      </c>
      <c r="N118" s="4">
        <f t="shared" si="7"/>
        <v>0</v>
      </c>
      <c r="O118" s="4">
        <f t="shared" si="11"/>
        <v>0</v>
      </c>
    </row>
    <row r="119" spans="2:15" s="5" customFormat="1" ht="32.4" customHeight="1" x14ac:dyDescent="0.3">
      <c r="B119" s="4" t="str">
        <f t="shared" si="12"/>
        <v/>
      </c>
      <c r="C119" s="8"/>
      <c r="D119" s="9"/>
      <c r="E119" s="10"/>
      <c r="F119" s="8" t="s">
        <v>31</v>
      </c>
      <c r="G119" s="8"/>
      <c r="H119" s="9"/>
      <c r="I119" s="4">
        <f t="shared" si="10"/>
        <v>0</v>
      </c>
      <c r="J119" s="4">
        <f t="shared" si="3"/>
        <v>0</v>
      </c>
      <c r="K119" s="4">
        <f t="shared" si="4"/>
        <v>0</v>
      </c>
      <c r="L119" s="4">
        <f t="shared" si="5"/>
        <v>0</v>
      </c>
      <c r="M119" s="4">
        <f t="shared" si="6"/>
        <v>0</v>
      </c>
      <c r="N119" s="4">
        <f t="shared" si="7"/>
        <v>0</v>
      </c>
      <c r="O119" s="4">
        <f t="shared" si="11"/>
        <v>0</v>
      </c>
    </row>
    <row r="120" spans="2:15" s="5" customFormat="1" ht="32.4" customHeight="1" x14ac:dyDescent="0.3">
      <c r="B120" s="4" t="str">
        <f t="shared" si="12"/>
        <v/>
      </c>
      <c r="C120" s="8"/>
      <c r="D120" s="9"/>
      <c r="E120" s="10"/>
      <c r="F120" s="8" t="s">
        <v>31</v>
      </c>
      <c r="G120" s="8"/>
      <c r="H120" s="9"/>
      <c r="I120" s="4">
        <f t="shared" si="10"/>
        <v>0</v>
      </c>
      <c r="J120" s="4">
        <f t="shared" si="3"/>
        <v>0</v>
      </c>
      <c r="K120" s="4">
        <f t="shared" si="4"/>
        <v>0</v>
      </c>
      <c r="L120" s="4">
        <f t="shared" si="5"/>
        <v>0</v>
      </c>
      <c r="M120" s="4">
        <f t="shared" si="6"/>
        <v>0</v>
      </c>
      <c r="N120" s="4">
        <f t="shared" si="7"/>
        <v>0</v>
      </c>
      <c r="O120" s="4">
        <f t="shared" si="11"/>
        <v>0</v>
      </c>
    </row>
    <row r="121" spans="2:15" s="5" customFormat="1" ht="32.4" customHeight="1" x14ac:dyDescent="0.3">
      <c r="B121" s="4" t="str">
        <f t="shared" si="12"/>
        <v/>
      </c>
      <c r="C121" s="8"/>
      <c r="D121" s="9"/>
      <c r="E121" s="10"/>
      <c r="F121" s="8" t="s">
        <v>31</v>
      </c>
      <c r="G121" s="8"/>
      <c r="H121" s="9"/>
      <c r="I121" s="4">
        <f t="shared" si="10"/>
        <v>0</v>
      </c>
      <c r="J121" s="4">
        <f t="shared" si="3"/>
        <v>0</v>
      </c>
      <c r="K121" s="4">
        <f t="shared" si="4"/>
        <v>0</v>
      </c>
      <c r="L121" s="4">
        <f t="shared" si="5"/>
        <v>0</v>
      </c>
      <c r="M121" s="4">
        <f t="shared" si="6"/>
        <v>0</v>
      </c>
      <c r="N121" s="4">
        <f t="shared" si="7"/>
        <v>0</v>
      </c>
      <c r="O121" s="4">
        <f t="shared" si="11"/>
        <v>0</v>
      </c>
    </row>
    <row r="122" spans="2:15" s="5" customFormat="1" ht="32.4" customHeight="1" x14ac:dyDescent="0.3">
      <c r="B122" s="4" t="str">
        <f t="shared" si="12"/>
        <v/>
      </c>
      <c r="C122" s="8"/>
      <c r="D122" s="9"/>
      <c r="E122" s="10"/>
      <c r="F122" s="8" t="s">
        <v>31</v>
      </c>
      <c r="G122" s="8"/>
      <c r="H122" s="9"/>
      <c r="I122" s="4">
        <f t="shared" si="10"/>
        <v>0</v>
      </c>
      <c r="J122" s="4">
        <f t="shared" si="3"/>
        <v>0</v>
      </c>
      <c r="K122" s="4">
        <f t="shared" si="4"/>
        <v>0</v>
      </c>
      <c r="L122" s="4">
        <f t="shared" si="5"/>
        <v>0</v>
      </c>
      <c r="M122" s="4">
        <f t="shared" si="6"/>
        <v>0</v>
      </c>
      <c r="N122" s="4">
        <f t="shared" si="7"/>
        <v>0</v>
      </c>
      <c r="O122" s="4">
        <f t="shared" si="11"/>
        <v>0</v>
      </c>
    </row>
    <row r="123" spans="2:15" s="5" customFormat="1" ht="32.4" customHeight="1" x14ac:dyDescent="0.3">
      <c r="B123" s="4" t="str">
        <f t="shared" si="12"/>
        <v/>
      </c>
      <c r="C123" s="8"/>
      <c r="D123" s="9"/>
      <c r="E123" s="10"/>
      <c r="F123" s="8" t="s">
        <v>31</v>
      </c>
      <c r="G123" s="8"/>
      <c r="H123" s="9"/>
      <c r="I123" s="4">
        <f t="shared" si="10"/>
        <v>0</v>
      </c>
      <c r="J123" s="4">
        <f t="shared" si="3"/>
        <v>0</v>
      </c>
      <c r="K123" s="4">
        <f t="shared" si="4"/>
        <v>0</v>
      </c>
      <c r="L123" s="4">
        <f t="shared" si="5"/>
        <v>0</v>
      </c>
      <c r="M123" s="4">
        <f t="shared" si="6"/>
        <v>0</v>
      </c>
      <c r="N123" s="4">
        <f t="shared" si="7"/>
        <v>0</v>
      </c>
      <c r="O123" s="4">
        <f t="shared" si="11"/>
        <v>0</v>
      </c>
    </row>
    <row r="124" spans="2:15" s="5" customFormat="1" ht="32.4" customHeight="1" x14ac:dyDescent="0.3">
      <c r="B124" s="4" t="str">
        <f t="shared" si="12"/>
        <v/>
      </c>
      <c r="C124" s="8"/>
      <c r="D124" s="9"/>
      <c r="E124" s="10"/>
      <c r="F124" s="8" t="s">
        <v>31</v>
      </c>
      <c r="G124" s="8"/>
      <c r="H124" s="9"/>
      <c r="I124" s="4">
        <f t="shared" si="10"/>
        <v>0</v>
      </c>
      <c r="J124" s="4">
        <f t="shared" si="3"/>
        <v>0</v>
      </c>
      <c r="K124" s="4">
        <f t="shared" si="4"/>
        <v>0</v>
      </c>
      <c r="L124" s="4">
        <f t="shared" si="5"/>
        <v>0</v>
      </c>
      <c r="M124" s="4">
        <f t="shared" si="6"/>
        <v>0</v>
      </c>
      <c r="N124" s="4">
        <f t="shared" si="7"/>
        <v>0</v>
      </c>
      <c r="O124" s="4">
        <f t="shared" si="11"/>
        <v>0</v>
      </c>
    </row>
    <row r="125" spans="2:15" s="5" customFormat="1" ht="32.4" customHeight="1" x14ac:dyDescent="0.3">
      <c r="B125" s="4" t="str">
        <f t="shared" si="12"/>
        <v/>
      </c>
      <c r="C125" s="8"/>
      <c r="D125" s="9"/>
      <c r="E125" s="10"/>
      <c r="F125" s="8" t="s">
        <v>31</v>
      </c>
      <c r="G125" s="8"/>
      <c r="H125" s="9"/>
      <c r="I125" s="4">
        <f t="shared" si="10"/>
        <v>0</v>
      </c>
      <c r="J125" s="4">
        <f t="shared" si="3"/>
        <v>0</v>
      </c>
      <c r="K125" s="4">
        <f t="shared" si="4"/>
        <v>0</v>
      </c>
      <c r="L125" s="4">
        <f t="shared" si="5"/>
        <v>0</v>
      </c>
      <c r="M125" s="4">
        <f t="shared" si="6"/>
        <v>0</v>
      </c>
      <c r="N125" s="4">
        <f t="shared" si="7"/>
        <v>0</v>
      </c>
      <c r="O125" s="4">
        <f t="shared" si="11"/>
        <v>0</v>
      </c>
    </row>
    <row r="126" spans="2:15" s="5" customFormat="1" ht="32.4" customHeight="1" x14ac:dyDescent="0.3">
      <c r="B126" s="4" t="str">
        <f t="shared" si="12"/>
        <v/>
      </c>
      <c r="C126" s="8"/>
      <c r="D126" s="9"/>
      <c r="E126" s="10"/>
      <c r="F126" s="8" t="s">
        <v>31</v>
      </c>
      <c r="G126" s="8"/>
      <c r="H126" s="9"/>
      <c r="I126" s="4">
        <f t="shared" si="10"/>
        <v>0</v>
      </c>
      <c r="J126" s="4">
        <f t="shared" si="3"/>
        <v>0</v>
      </c>
      <c r="K126" s="4">
        <f t="shared" si="4"/>
        <v>0</v>
      </c>
      <c r="L126" s="4">
        <f t="shared" si="5"/>
        <v>0</v>
      </c>
      <c r="M126" s="4">
        <f t="shared" si="6"/>
        <v>0</v>
      </c>
      <c r="N126" s="4">
        <f t="shared" si="7"/>
        <v>0</v>
      </c>
      <c r="O126" s="4">
        <f t="shared" si="11"/>
        <v>0</v>
      </c>
    </row>
    <row r="127" spans="2:15" s="5" customFormat="1" ht="32.4" customHeight="1" x14ac:dyDescent="0.3">
      <c r="B127" s="4" t="str">
        <f t="shared" si="12"/>
        <v/>
      </c>
      <c r="C127" s="8"/>
      <c r="D127" s="9"/>
      <c r="E127" s="10"/>
      <c r="F127" s="8" t="s">
        <v>31</v>
      </c>
      <c r="G127" s="8"/>
      <c r="H127" s="9"/>
      <c r="I127" s="4">
        <f t="shared" si="10"/>
        <v>0</v>
      </c>
      <c r="J127" s="4">
        <f t="shared" si="3"/>
        <v>0</v>
      </c>
      <c r="K127" s="4">
        <f t="shared" si="4"/>
        <v>0</v>
      </c>
      <c r="L127" s="4">
        <f t="shared" si="5"/>
        <v>0</v>
      </c>
      <c r="M127" s="4">
        <f t="shared" si="6"/>
        <v>0</v>
      </c>
      <c r="N127" s="4">
        <f t="shared" si="7"/>
        <v>0</v>
      </c>
      <c r="O127" s="4">
        <f t="shared" si="11"/>
        <v>0</v>
      </c>
    </row>
    <row r="128" spans="2:15" s="5" customFormat="1" ht="32.4" customHeight="1" x14ac:dyDescent="0.3">
      <c r="B128" s="4" t="str">
        <f t="shared" si="12"/>
        <v/>
      </c>
      <c r="C128" s="8"/>
      <c r="D128" s="9"/>
      <c r="E128" s="10"/>
      <c r="F128" s="8" t="s">
        <v>31</v>
      </c>
      <c r="G128" s="8"/>
      <c r="H128" s="9"/>
      <c r="I128" s="4">
        <f t="shared" si="10"/>
        <v>0</v>
      </c>
      <c r="J128" s="4">
        <f t="shared" si="3"/>
        <v>0</v>
      </c>
      <c r="K128" s="4">
        <f t="shared" si="4"/>
        <v>0</v>
      </c>
      <c r="L128" s="4">
        <f t="shared" si="5"/>
        <v>0</v>
      </c>
      <c r="M128" s="4">
        <f t="shared" si="6"/>
        <v>0</v>
      </c>
      <c r="N128" s="4">
        <f t="shared" si="7"/>
        <v>0</v>
      </c>
      <c r="O128" s="4">
        <f t="shared" si="11"/>
        <v>0</v>
      </c>
    </row>
    <row r="129" spans="2:15" s="5" customFormat="1" ht="32.4" customHeight="1" x14ac:dyDescent="0.3">
      <c r="B129" s="4" t="str">
        <f t="shared" si="12"/>
        <v/>
      </c>
      <c r="C129" s="8"/>
      <c r="D129" s="9"/>
      <c r="E129" s="10"/>
      <c r="F129" s="8" t="s">
        <v>31</v>
      </c>
      <c r="G129" s="8"/>
      <c r="H129" s="9"/>
      <c r="I129" s="4">
        <f t="shared" si="10"/>
        <v>0</v>
      </c>
      <c r="J129" s="4">
        <f t="shared" si="3"/>
        <v>0</v>
      </c>
      <c r="K129" s="4">
        <f t="shared" si="4"/>
        <v>0</v>
      </c>
      <c r="L129" s="4">
        <f t="shared" si="5"/>
        <v>0</v>
      </c>
      <c r="M129" s="4">
        <f t="shared" si="6"/>
        <v>0</v>
      </c>
      <c r="N129" s="4">
        <f t="shared" si="7"/>
        <v>0</v>
      </c>
      <c r="O129" s="4">
        <f t="shared" si="11"/>
        <v>0</v>
      </c>
    </row>
    <row r="130" spans="2:15" s="5" customFormat="1" ht="32.4" customHeight="1" x14ac:dyDescent="0.3">
      <c r="B130" s="4" t="str">
        <f t="shared" si="12"/>
        <v/>
      </c>
      <c r="C130" s="8"/>
      <c r="D130" s="9"/>
      <c r="E130" s="10"/>
      <c r="F130" s="8" t="s">
        <v>31</v>
      </c>
      <c r="G130" s="8"/>
      <c r="H130" s="9"/>
      <c r="I130" s="4">
        <f t="shared" si="10"/>
        <v>0</v>
      </c>
      <c r="J130" s="4">
        <f t="shared" si="3"/>
        <v>0</v>
      </c>
      <c r="K130" s="4">
        <f t="shared" si="4"/>
        <v>0</v>
      </c>
      <c r="L130" s="4">
        <f t="shared" si="5"/>
        <v>0</v>
      </c>
      <c r="M130" s="4">
        <f t="shared" si="6"/>
        <v>0</v>
      </c>
      <c r="N130" s="4">
        <f t="shared" si="7"/>
        <v>0</v>
      </c>
      <c r="O130" s="4">
        <f t="shared" si="11"/>
        <v>0</v>
      </c>
    </row>
    <row r="131" spans="2:15" s="5" customFormat="1" ht="32.4" customHeight="1" x14ac:dyDescent="0.3">
      <c r="B131" s="4" t="str">
        <f t="shared" si="12"/>
        <v/>
      </c>
      <c r="C131" s="8"/>
      <c r="D131" s="9"/>
      <c r="E131" s="10"/>
      <c r="F131" s="8" t="s">
        <v>31</v>
      </c>
      <c r="G131" s="8"/>
      <c r="H131" s="9"/>
      <c r="I131" s="4">
        <f t="shared" si="10"/>
        <v>0</v>
      </c>
      <c r="J131" s="4">
        <f t="shared" si="3"/>
        <v>0</v>
      </c>
      <c r="K131" s="4">
        <f t="shared" si="4"/>
        <v>0</v>
      </c>
      <c r="L131" s="4">
        <f t="shared" si="5"/>
        <v>0</v>
      </c>
      <c r="M131" s="4">
        <f t="shared" si="6"/>
        <v>0</v>
      </c>
      <c r="N131" s="4">
        <f t="shared" si="7"/>
        <v>0</v>
      </c>
      <c r="O131" s="4">
        <f t="shared" si="11"/>
        <v>0</v>
      </c>
    </row>
    <row r="132" spans="2:15" s="5" customFormat="1" ht="32.4" customHeight="1" x14ac:dyDescent="0.3">
      <c r="B132" s="4" t="str">
        <f t="shared" si="12"/>
        <v/>
      </c>
      <c r="C132" s="8"/>
      <c r="D132" s="9"/>
      <c r="E132" s="10"/>
      <c r="F132" s="8" t="s">
        <v>31</v>
      </c>
      <c r="G132" s="8"/>
      <c r="H132" s="9"/>
      <c r="I132" s="4">
        <f t="shared" si="10"/>
        <v>0</v>
      </c>
      <c r="J132" s="4">
        <f t="shared" si="3"/>
        <v>0</v>
      </c>
      <c r="K132" s="4">
        <f t="shared" si="4"/>
        <v>0</v>
      </c>
      <c r="L132" s="4">
        <f t="shared" si="5"/>
        <v>0</v>
      </c>
      <c r="M132" s="4">
        <f t="shared" si="6"/>
        <v>0</v>
      </c>
      <c r="N132" s="4">
        <f t="shared" si="7"/>
        <v>0</v>
      </c>
      <c r="O132" s="4">
        <f t="shared" si="11"/>
        <v>0</v>
      </c>
    </row>
    <row r="133" spans="2:15" s="5" customFormat="1" ht="32.4" customHeight="1" x14ac:dyDescent="0.3">
      <c r="B133" s="4" t="str">
        <f t="shared" si="12"/>
        <v/>
      </c>
      <c r="C133" s="8"/>
      <c r="D133" s="9"/>
      <c r="E133" s="10"/>
      <c r="F133" s="8" t="s">
        <v>31</v>
      </c>
      <c r="G133" s="8"/>
      <c r="H133" s="9"/>
      <c r="I133" s="4">
        <f t="shared" si="10"/>
        <v>0</v>
      </c>
      <c r="J133" s="4">
        <f t="shared" si="3"/>
        <v>0</v>
      </c>
      <c r="K133" s="4">
        <f t="shared" si="4"/>
        <v>0</v>
      </c>
      <c r="L133" s="4">
        <f t="shared" si="5"/>
        <v>0</v>
      </c>
      <c r="M133" s="4">
        <f t="shared" si="6"/>
        <v>0</v>
      </c>
      <c r="N133" s="4">
        <f t="shared" si="7"/>
        <v>0</v>
      </c>
      <c r="O133" s="4">
        <f t="shared" si="11"/>
        <v>0</v>
      </c>
    </row>
    <row r="134" spans="2:15" s="5" customFormat="1" ht="32.4" customHeight="1" x14ac:dyDescent="0.3">
      <c r="B134" s="4" t="str">
        <f t="shared" si="12"/>
        <v/>
      </c>
      <c r="C134" s="8"/>
      <c r="D134" s="9"/>
      <c r="E134" s="10"/>
      <c r="F134" s="8" t="s">
        <v>31</v>
      </c>
      <c r="G134" s="8"/>
      <c r="H134" s="9"/>
      <c r="I134" s="4">
        <f t="shared" ref="I134:I148" si="13">IF($G134="Легкая",1,0)-O134</f>
        <v>0</v>
      </c>
      <c r="J134" s="4">
        <f t="shared" si="3"/>
        <v>0</v>
      </c>
      <c r="K134" s="4">
        <f t="shared" si="4"/>
        <v>0</v>
      </c>
      <c r="L134" s="4">
        <f t="shared" si="5"/>
        <v>0</v>
      </c>
      <c r="M134" s="4">
        <f t="shared" si="6"/>
        <v>0</v>
      </c>
      <c r="N134" s="4">
        <f t="shared" si="7"/>
        <v>0</v>
      </c>
      <c r="O134" s="4">
        <f t="shared" ref="O134:O148" si="14">IF(H134&gt;0,1,0)</f>
        <v>0</v>
      </c>
    </row>
    <row r="135" spans="2:15" s="5" customFormat="1" ht="32.4" customHeight="1" x14ac:dyDescent="0.3">
      <c r="B135" s="4" t="str">
        <f t="shared" ref="B135:B148" si="15">IF(E135&gt;0,1+B134,"")</f>
        <v/>
      </c>
      <c r="C135" s="8"/>
      <c r="D135" s="9"/>
      <c r="E135" s="10"/>
      <c r="F135" s="8" t="s">
        <v>31</v>
      </c>
      <c r="G135" s="8"/>
      <c r="H135" s="9"/>
      <c r="I135" s="4">
        <f t="shared" si="13"/>
        <v>0</v>
      </c>
      <c r="J135" s="4">
        <f t="shared" si="3"/>
        <v>0</v>
      </c>
      <c r="K135" s="4">
        <f t="shared" si="4"/>
        <v>0</v>
      </c>
      <c r="L135" s="4">
        <f t="shared" si="5"/>
        <v>0</v>
      </c>
      <c r="M135" s="4">
        <f t="shared" si="6"/>
        <v>0</v>
      </c>
      <c r="N135" s="4">
        <f t="shared" si="7"/>
        <v>0</v>
      </c>
      <c r="O135" s="4">
        <f t="shared" si="14"/>
        <v>0</v>
      </c>
    </row>
    <row r="136" spans="2:15" s="5" customFormat="1" ht="32.4" customHeight="1" x14ac:dyDescent="0.3">
      <c r="B136" s="4" t="str">
        <f t="shared" si="15"/>
        <v/>
      </c>
      <c r="C136" s="8"/>
      <c r="D136" s="9"/>
      <c r="E136" s="10"/>
      <c r="F136" s="8" t="s">
        <v>31</v>
      </c>
      <c r="G136" s="8"/>
      <c r="H136" s="9"/>
      <c r="I136" s="4">
        <f t="shared" si="13"/>
        <v>0</v>
      </c>
      <c r="J136" s="4">
        <f t="shared" si="3"/>
        <v>0</v>
      </c>
      <c r="K136" s="4">
        <f t="shared" si="4"/>
        <v>0</v>
      </c>
      <c r="L136" s="4">
        <f t="shared" si="5"/>
        <v>0</v>
      </c>
      <c r="M136" s="4">
        <f t="shared" si="6"/>
        <v>0</v>
      </c>
      <c r="N136" s="4">
        <f t="shared" si="7"/>
        <v>0</v>
      </c>
      <c r="O136" s="4">
        <f t="shared" si="14"/>
        <v>0</v>
      </c>
    </row>
    <row r="137" spans="2:15" s="5" customFormat="1" ht="32.4" customHeight="1" x14ac:dyDescent="0.3">
      <c r="B137" s="4" t="str">
        <f t="shared" si="15"/>
        <v/>
      </c>
      <c r="C137" s="8"/>
      <c r="D137" s="9"/>
      <c r="E137" s="10"/>
      <c r="F137" s="8" t="s">
        <v>31</v>
      </c>
      <c r="G137" s="8"/>
      <c r="H137" s="9"/>
      <c r="I137" s="4">
        <f t="shared" si="13"/>
        <v>0</v>
      </c>
      <c r="J137" s="4">
        <f t="shared" si="3"/>
        <v>0</v>
      </c>
      <c r="K137" s="4">
        <f t="shared" si="4"/>
        <v>0</v>
      </c>
      <c r="L137" s="4">
        <f t="shared" si="5"/>
        <v>0</v>
      </c>
      <c r="M137" s="4">
        <f t="shared" si="6"/>
        <v>0</v>
      </c>
      <c r="N137" s="4">
        <f t="shared" si="7"/>
        <v>0</v>
      </c>
      <c r="O137" s="4">
        <f t="shared" si="14"/>
        <v>0</v>
      </c>
    </row>
    <row r="138" spans="2:15" s="5" customFormat="1" ht="32.4" customHeight="1" x14ac:dyDescent="0.3">
      <c r="B138" s="4" t="str">
        <f t="shared" si="15"/>
        <v/>
      </c>
      <c r="C138" s="8"/>
      <c r="D138" s="9"/>
      <c r="E138" s="10"/>
      <c r="F138" s="8" t="s">
        <v>31</v>
      </c>
      <c r="G138" s="8"/>
      <c r="H138" s="9"/>
      <c r="I138" s="4">
        <f t="shared" si="13"/>
        <v>0</v>
      </c>
      <c r="J138" s="4">
        <f t="shared" si="3"/>
        <v>0</v>
      </c>
      <c r="K138" s="4">
        <f t="shared" si="4"/>
        <v>0</v>
      </c>
      <c r="L138" s="4">
        <f t="shared" si="5"/>
        <v>0</v>
      </c>
      <c r="M138" s="4">
        <f t="shared" si="6"/>
        <v>0</v>
      </c>
      <c r="N138" s="4">
        <f t="shared" si="7"/>
        <v>0</v>
      </c>
      <c r="O138" s="4">
        <f t="shared" si="14"/>
        <v>0</v>
      </c>
    </row>
    <row r="139" spans="2:15" s="5" customFormat="1" ht="32.4" customHeight="1" x14ac:dyDescent="0.3">
      <c r="B139" s="4" t="str">
        <f t="shared" si="15"/>
        <v/>
      </c>
      <c r="C139" s="8"/>
      <c r="D139" s="9"/>
      <c r="E139" s="10"/>
      <c r="F139" s="8" t="s">
        <v>31</v>
      </c>
      <c r="G139" s="8"/>
      <c r="H139" s="9"/>
      <c r="I139" s="4">
        <f t="shared" si="13"/>
        <v>0</v>
      </c>
      <c r="J139" s="4">
        <f t="shared" si="3"/>
        <v>0</v>
      </c>
      <c r="K139" s="4">
        <f t="shared" si="4"/>
        <v>0</v>
      </c>
      <c r="L139" s="4">
        <f t="shared" si="5"/>
        <v>0</v>
      </c>
      <c r="M139" s="4">
        <f t="shared" si="6"/>
        <v>0</v>
      </c>
      <c r="N139" s="4">
        <f t="shared" si="7"/>
        <v>0</v>
      </c>
      <c r="O139" s="4">
        <f t="shared" si="14"/>
        <v>0</v>
      </c>
    </row>
    <row r="140" spans="2:15" s="5" customFormat="1" ht="32.4" customHeight="1" x14ac:dyDescent="0.3">
      <c r="B140" s="4" t="str">
        <f t="shared" si="15"/>
        <v/>
      </c>
      <c r="C140" s="8"/>
      <c r="D140" s="9"/>
      <c r="E140" s="10"/>
      <c r="F140" s="8" t="s">
        <v>31</v>
      </c>
      <c r="G140" s="8"/>
      <c r="H140" s="9"/>
      <c r="I140" s="4">
        <f t="shared" si="13"/>
        <v>0</v>
      </c>
      <c r="J140" s="4">
        <f t="shared" si="3"/>
        <v>0</v>
      </c>
      <c r="K140" s="4">
        <f t="shared" si="4"/>
        <v>0</v>
      </c>
      <c r="L140" s="4">
        <f t="shared" si="5"/>
        <v>0</v>
      </c>
      <c r="M140" s="4">
        <f t="shared" si="6"/>
        <v>0</v>
      </c>
      <c r="N140" s="4">
        <f t="shared" si="7"/>
        <v>0</v>
      </c>
      <c r="O140" s="4">
        <f t="shared" si="14"/>
        <v>0</v>
      </c>
    </row>
    <row r="141" spans="2:15" s="5" customFormat="1" ht="32.4" customHeight="1" x14ac:dyDescent="0.3">
      <c r="B141" s="4" t="str">
        <f t="shared" si="15"/>
        <v/>
      </c>
      <c r="C141" s="8"/>
      <c r="D141" s="9"/>
      <c r="E141" s="10"/>
      <c r="F141" s="8" t="s">
        <v>31</v>
      </c>
      <c r="G141" s="8"/>
      <c r="H141" s="9"/>
      <c r="I141" s="4">
        <f t="shared" si="13"/>
        <v>0</v>
      </c>
      <c r="J141" s="4">
        <f t="shared" si="3"/>
        <v>0</v>
      </c>
      <c r="K141" s="4">
        <f t="shared" si="4"/>
        <v>0</v>
      </c>
      <c r="L141" s="4">
        <f t="shared" si="5"/>
        <v>0</v>
      </c>
      <c r="M141" s="4">
        <f t="shared" si="6"/>
        <v>0</v>
      </c>
      <c r="N141" s="4">
        <f t="shared" si="7"/>
        <v>0</v>
      </c>
      <c r="O141" s="4">
        <f t="shared" si="14"/>
        <v>0</v>
      </c>
    </row>
    <row r="142" spans="2:15" s="5" customFormat="1" ht="32.4" customHeight="1" x14ac:dyDescent="0.3">
      <c r="B142" s="4" t="str">
        <f t="shared" si="15"/>
        <v/>
      </c>
      <c r="C142" s="8"/>
      <c r="D142" s="9"/>
      <c r="E142" s="10"/>
      <c r="F142" s="8" t="s">
        <v>31</v>
      </c>
      <c r="G142" s="8"/>
      <c r="H142" s="9"/>
      <c r="I142" s="4">
        <f t="shared" si="13"/>
        <v>0</v>
      </c>
      <c r="J142" s="4">
        <f t="shared" si="3"/>
        <v>0</v>
      </c>
      <c r="K142" s="4">
        <f t="shared" si="4"/>
        <v>0</v>
      </c>
      <c r="L142" s="4">
        <f t="shared" si="5"/>
        <v>0</v>
      </c>
      <c r="M142" s="4">
        <f t="shared" si="6"/>
        <v>0</v>
      </c>
      <c r="N142" s="4">
        <f t="shared" si="7"/>
        <v>0</v>
      </c>
      <c r="O142" s="4">
        <f t="shared" si="14"/>
        <v>0</v>
      </c>
    </row>
    <row r="143" spans="2:15" s="5" customFormat="1" ht="32.4" customHeight="1" x14ac:dyDescent="0.3">
      <c r="B143" s="4" t="str">
        <f t="shared" si="15"/>
        <v/>
      </c>
      <c r="C143" s="8"/>
      <c r="D143" s="9"/>
      <c r="E143" s="10"/>
      <c r="F143" s="8" t="s">
        <v>31</v>
      </c>
      <c r="G143" s="8"/>
      <c r="H143" s="9"/>
      <c r="I143" s="4">
        <f t="shared" si="13"/>
        <v>0</v>
      </c>
      <c r="J143" s="4">
        <f t="shared" si="3"/>
        <v>0</v>
      </c>
      <c r="K143" s="4">
        <f t="shared" si="4"/>
        <v>0</v>
      </c>
      <c r="L143" s="4">
        <f t="shared" si="5"/>
        <v>0</v>
      </c>
      <c r="M143" s="4">
        <f t="shared" si="6"/>
        <v>0</v>
      </c>
      <c r="N143" s="4">
        <f t="shared" si="7"/>
        <v>0</v>
      </c>
      <c r="O143" s="4">
        <f t="shared" si="14"/>
        <v>0</v>
      </c>
    </row>
    <row r="144" spans="2:15" s="5" customFormat="1" ht="32.4" customHeight="1" x14ac:dyDescent="0.3">
      <c r="B144" s="4" t="str">
        <f t="shared" si="15"/>
        <v/>
      </c>
      <c r="C144" s="8"/>
      <c r="D144" s="9"/>
      <c r="E144" s="10"/>
      <c r="F144" s="8" t="s">
        <v>31</v>
      </c>
      <c r="G144" s="8"/>
      <c r="H144" s="9"/>
      <c r="I144" s="4">
        <f t="shared" si="13"/>
        <v>0</v>
      </c>
      <c r="J144" s="4">
        <f t="shared" si="3"/>
        <v>0</v>
      </c>
      <c r="K144" s="4">
        <f t="shared" si="4"/>
        <v>0</v>
      </c>
      <c r="L144" s="4">
        <f t="shared" si="5"/>
        <v>0</v>
      </c>
      <c r="M144" s="4">
        <f t="shared" si="6"/>
        <v>0</v>
      </c>
      <c r="N144" s="4">
        <f t="shared" si="7"/>
        <v>0</v>
      </c>
      <c r="O144" s="4">
        <f t="shared" si="14"/>
        <v>0</v>
      </c>
    </row>
    <row r="145" spans="2:15" s="5" customFormat="1" ht="32.4" customHeight="1" x14ac:dyDescent="0.3">
      <c r="B145" s="4" t="str">
        <f t="shared" si="15"/>
        <v/>
      </c>
      <c r="C145" s="8"/>
      <c r="D145" s="9"/>
      <c r="E145" s="10"/>
      <c r="F145" s="8" t="s">
        <v>31</v>
      </c>
      <c r="G145" s="8"/>
      <c r="H145" s="9"/>
      <c r="I145" s="4">
        <f t="shared" si="13"/>
        <v>0</v>
      </c>
      <c r="J145" s="4">
        <f t="shared" si="3"/>
        <v>0</v>
      </c>
      <c r="K145" s="4">
        <f t="shared" si="4"/>
        <v>0</v>
      </c>
      <c r="L145" s="4">
        <f t="shared" si="5"/>
        <v>0</v>
      </c>
      <c r="M145" s="4">
        <f t="shared" si="6"/>
        <v>0</v>
      </c>
      <c r="N145" s="4">
        <f t="shared" si="7"/>
        <v>0</v>
      </c>
      <c r="O145" s="4">
        <f t="shared" si="14"/>
        <v>0</v>
      </c>
    </row>
    <row r="146" spans="2:15" s="5" customFormat="1" ht="32.4" customHeight="1" x14ac:dyDescent="0.3">
      <c r="B146" s="4" t="str">
        <f t="shared" si="15"/>
        <v/>
      </c>
      <c r="C146" s="8"/>
      <c r="D146" s="9"/>
      <c r="E146" s="10"/>
      <c r="F146" s="8" t="s">
        <v>31</v>
      </c>
      <c r="G146" s="8"/>
      <c r="H146" s="9"/>
      <c r="I146" s="4">
        <f t="shared" si="13"/>
        <v>0</v>
      </c>
      <c r="J146" s="4">
        <f t="shared" si="3"/>
        <v>0</v>
      </c>
      <c r="K146" s="4">
        <f t="shared" si="4"/>
        <v>0</v>
      </c>
      <c r="L146" s="4">
        <f t="shared" si="5"/>
        <v>0</v>
      </c>
      <c r="M146" s="4">
        <f t="shared" si="6"/>
        <v>0</v>
      </c>
      <c r="N146" s="4">
        <f t="shared" si="7"/>
        <v>0</v>
      </c>
      <c r="O146" s="4">
        <f t="shared" si="14"/>
        <v>0</v>
      </c>
    </row>
    <row r="147" spans="2:15" s="5" customFormat="1" ht="32.4" customHeight="1" x14ac:dyDescent="0.3">
      <c r="B147" s="4" t="str">
        <f t="shared" si="15"/>
        <v/>
      </c>
      <c r="C147" s="8"/>
      <c r="D147" s="9"/>
      <c r="E147" s="10"/>
      <c r="F147" s="8" t="s">
        <v>31</v>
      </c>
      <c r="G147" s="8"/>
      <c r="H147" s="9"/>
      <c r="I147" s="4">
        <f t="shared" si="13"/>
        <v>0</v>
      </c>
      <c r="J147" s="4">
        <f t="shared" si="3"/>
        <v>0</v>
      </c>
      <c r="K147" s="4">
        <f t="shared" si="4"/>
        <v>0</v>
      </c>
      <c r="L147" s="4">
        <f t="shared" si="5"/>
        <v>0</v>
      </c>
      <c r="M147" s="4">
        <f t="shared" si="6"/>
        <v>0</v>
      </c>
      <c r="N147" s="4">
        <f t="shared" si="7"/>
        <v>0</v>
      </c>
      <c r="O147" s="4">
        <f t="shared" si="14"/>
        <v>0</v>
      </c>
    </row>
    <row r="148" spans="2:15" s="5" customFormat="1" ht="32.4" customHeight="1" x14ac:dyDescent="0.3">
      <c r="B148" s="4" t="str">
        <f t="shared" si="15"/>
        <v/>
      </c>
      <c r="C148" s="8"/>
      <c r="D148" s="9"/>
      <c r="E148" s="10"/>
      <c r="F148" s="8" t="s">
        <v>31</v>
      </c>
      <c r="G148" s="8"/>
      <c r="H148" s="9"/>
      <c r="I148" s="4">
        <f t="shared" si="13"/>
        <v>0</v>
      </c>
      <c r="J148" s="4">
        <f t="shared" si="3"/>
        <v>0</v>
      </c>
      <c r="K148" s="4">
        <f t="shared" si="4"/>
        <v>0</v>
      </c>
      <c r="L148" s="4">
        <f t="shared" si="5"/>
        <v>0</v>
      </c>
      <c r="M148" s="4">
        <f t="shared" si="6"/>
        <v>0</v>
      </c>
      <c r="N148" s="4">
        <f t="shared" si="7"/>
        <v>0</v>
      </c>
      <c r="O148" s="4">
        <f t="shared" si="14"/>
        <v>0</v>
      </c>
    </row>
  </sheetData>
  <autoFilter ref="B4:H148" xr:uid="{BCF5144B-0DDE-4EA5-8F90-6A0EDA2CF777}"/>
  <mergeCells count="1">
    <mergeCell ref="B2:H2"/>
  </mergeCells>
  <conditionalFormatting sqref="B5:H148">
    <cfRule type="expression" dxfId="50" priority="21">
      <formula>IF($C5="НАКАЗАНИЕ",1,0)</formula>
    </cfRule>
    <cfRule type="expression" dxfId="49" priority="22">
      <formula>IF($G5="СУПЕР ИГРА",1,0)</formula>
    </cfRule>
    <cfRule type="expression" dxfId="48" priority="23">
      <formula>IF($G5="Сложная",1,0)</formula>
    </cfRule>
    <cfRule type="expression" dxfId="47" priority="24">
      <formula>IF($G5="Средняя",1,0)</formula>
    </cfRule>
    <cfRule type="expression" dxfId="46" priority="25">
      <formula>IF($G5="Легкая",1,0)</formula>
    </cfRule>
  </conditionalFormatting>
  <conditionalFormatting sqref="J3">
    <cfRule type="expression" dxfId="45" priority="16">
      <formula>IF($C3="НАКАЗАНИЕ",1,0)</formula>
    </cfRule>
    <cfRule type="expression" dxfId="44" priority="17">
      <formula>IF($G3="СУПЕР ИГРА",1,0)</formula>
    </cfRule>
    <cfRule type="expression" dxfId="43" priority="18">
      <formula>IF($G3="Сложная",1,0)</formula>
    </cfRule>
    <cfRule type="expression" dxfId="42" priority="19">
      <formula>IF($G3="Средняя",1,0)</formula>
    </cfRule>
    <cfRule type="expression" dxfId="41" priority="20">
      <formula>IF($G3="Легкая",1,0)</formula>
    </cfRule>
  </conditionalFormatting>
  <conditionalFormatting sqref="K3">
    <cfRule type="expression" dxfId="40" priority="11">
      <formula>IF($C3="НАКАЗАНИЕ",1,0)</formula>
    </cfRule>
    <cfRule type="expression" dxfId="39" priority="12">
      <formula>IF($G3="СУПЕР ИГРА",1,0)</formula>
    </cfRule>
    <cfRule type="expression" dxfId="38" priority="13">
      <formula>IF($G3="Сложная",1,0)</formula>
    </cfRule>
    <cfRule type="expression" dxfId="37" priority="14">
      <formula>IF($G3="Средняя",1,0)</formula>
    </cfRule>
    <cfRule type="expression" dxfId="36" priority="15">
      <formula>IF($G3="Легкая",1,0)</formula>
    </cfRule>
  </conditionalFormatting>
  <conditionalFormatting sqref="I3:O148">
    <cfRule type="expression" dxfId="35" priority="6">
      <formula>IF($C3="НАКАЗАНИЕ",1,0)</formula>
    </cfRule>
    <cfRule type="expression" dxfId="34" priority="7">
      <formula>IF($G3="СУПЕР ИГРА",1,0)</formula>
    </cfRule>
    <cfRule type="expression" dxfId="33" priority="8">
      <formula>IF($G3="Сложная",1,0)</formula>
    </cfRule>
    <cfRule type="expression" dxfId="32" priority="9">
      <formula>IF($G3="Средняя",1,0)</formula>
    </cfRule>
    <cfRule type="expression" dxfId="31" priority="10">
      <formula>IF($G3="Легкая",1,0)</formula>
    </cfRule>
  </conditionalFormatting>
  <conditionalFormatting sqref="I3">
    <cfRule type="expression" dxfId="30" priority="1">
      <formula>IF($C3="НАКАЗАНИЕ",1,0)</formula>
    </cfRule>
    <cfRule type="expression" dxfId="29" priority="2">
      <formula>IF($G3="СУПЕР ИГРА",1,0)</formula>
    </cfRule>
    <cfRule type="expression" dxfId="28" priority="3">
      <formula>IF($G3="Сложная",1,0)</formula>
    </cfRule>
    <cfRule type="expression" dxfId="27" priority="4">
      <formula>IF($G3="Средняя",1,0)</formula>
    </cfRule>
    <cfRule type="expression" dxfId="26" priority="5">
      <formula>IF($G3="Легкая",1,0)</formula>
    </cfRule>
  </conditionalFormatting>
  <dataValidations count="2">
    <dataValidation type="list" allowBlank="1" showInputMessage="1" showErrorMessage="1" sqref="C5:C148" xr:uid="{7C2D1E5F-8389-4412-88DF-C40136B8183C}">
      <formula1>"ЗАДАНИЕ, НАКАЗАНИЕ"</formula1>
    </dataValidation>
    <dataValidation type="list" allowBlank="1" showInputMessage="1" showErrorMessage="1" sqref="G5:G148" xr:uid="{B5AF7D05-F50E-4F6E-AB67-04E77C600F6E}">
      <formula1>"Легкая, Средняя, Сложная, СУПЕР ИГРА"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Главная</vt:lpstr>
      <vt:lpstr>Список действий</vt:lpstr>
      <vt:lpstr>Задание для финала сезона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Anatoliy Shipilov</dc:creator>
  <cp:lastModifiedBy>Anatoliy Shipilov</cp:lastModifiedBy>
  <dcterms:created xsi:type="dcterms:W3CDTF">2015-06-05T18:17:20Z</dcterms:created>
  <dcterms:modified xsi:type="dcterms:W3CDTF">2025-02-02T05:32:53Z</dcterms:modified>
</cp:coreProperties>
</file>